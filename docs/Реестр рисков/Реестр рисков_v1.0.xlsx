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рисков" sheetId="1" state="visible" r:id="rId3"/>
    <sheet name="Матрица" sheetId="2" state="visible" r:id="rId4"/>
    <sheet name="Количественная оценка" sheetId="3" state="visible" r:id="rId5"/>
    <sheet name="Методика" sheetId="4" state="visible" r:id="rId6"/>
  </sheets>
  <definedNames>
    <definedName function="false" hidden="true" localSheetId="0" name="_xlnm._FilterDatabase" vbProcedure="false">'Реестр рисков'!$A$8:$T$25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<sst xmlns="http://schemas.openxmlformats.org/spreadsheetml/2006/main" count="512" uniqueCount="395">
  <si>
    <t xml:space="preserve">Реестр рисков проекта Stud Book</t>
  </si>
  <si>
    <t xml:space="preserve">Название проекта</t>
  </si>
  <si>
    <t xml:space="preserve">Stud Book</t>
  </si>
  <si>
    <t xml:space="preserve">Версия</t>
  </si>
  <si>
    <t xml:space="preserve">1.0</t>
  </si>
  <si>
    <t xml:space="preserve">Менеджер проекта</t>
  </si>
  <si>
    <t xml:space="preserve">Лопатин Даниил Игоревич</t>
  </si>
  <si>
    <t xml:space="preserve">Дата версии</t>
  </si>
  <si>
    <t xml:space="preserve">17.10.2026</t>
  </si>
  <si>
    <t xml:space="preserve">Спонсор проекта</t>
  </si>
  <si>
    <t xml:space="preserve">Дасти Кроуфорд</t>
  </si>
  <si>
    <t xml:space="preserve">Статус-дата базового плана</t>
  </si>
  <si>
    <t xml:space="preserve">Фаза проекта</t>
  </si>
  <si>
    <t xml:space="preserve">3 — базовый план (вариант Б)</t>
  </si>
  <si>
    <t xml:space="preserve">Плановое окончание</t>
  </si>
  <si>
    <t xml:space="preserve">26.12.2026 (закрытие до 31.12.2026)</t>
  </si>
  <si>
    <t xml:space="preserve">№</t>
  </si>
  <si>
    <t xml:space="preserve">Категория</t>
  </si>
  <si>
    <t xml:space="preserve">Риск</t>
  </si>
  <si>
    <t xml:space="preserve">Причина и событие</t>
  </si>
  <si>
    <t xml:space="preserve">Последствия для проекта</t>
  </si>
  <si>
    <t xml:space="preserve">Источник (ЗС)</t>
  </si>
  <si>
    <t xml:space="preserve">Пакеты ИСР, требования</t>
  </si>
  <si>
    <t xml:space="preserve">Признак наступления</t>
  </si>
  <si>
    <t xml:space="preserve">P (1–5)</t>
  </si>
  <si>
    <t xml:space="preserve">I (1–5)</t>
  </si>
  <si>
    <t xml:space="preserve">Балл P×I</t>
  </si>
  <si>
    <t xml:space="preserve">Приоритет</t>
  </si>
  <si>
    <t xml:space="preserve">Стратегия</t>
  </si>
  <si>
    <t xml:space="preserve">Превентивные меры</t>
  </si>
  <si>
    <t xml:space="preserve">План Б (при наступлении)</t>
  </si>
  <si>
    <t xml:space="preserve">Владелец</t>
  </si>
  <si>
    <t xml:space="preserve">Когда контролировать</t>
  </si>
  <si>
    <t xml:space="preserve">Статус</t>
  </si>
  <si>
    <t xml:space="preserve">Дата выявления</t>
  </si>
  <si>
    <t xml:space="preserve">Ранг</t>
  </si>
  <si>
    <t xml:space="preserve">Р1</t>
  </si>
  <si>
    <t xml:space="preserve">Требования и содержание</t>
  </si>
  <si>
    <t xml:space="preserve">Неполные и меняющиеся требования</t>
  </si>
  <si>
    <t xml:space="preserve">Заказчик не специалист в ИТ и описывает проблемы, а не решения; допущения А-5, А-7, А-8, А-12…А-14 имеют статус «подтвердить». На демонстрациях заказчик уточняет или меняет уже согласованное поведение экранов.</t>
  </si>
  <si>
    <t xml:space="preserve">Переделка экранов и логики (2.3, 3.1–3.5, 5.1), рост трудоёмкости, расход запаса расписания 5,1 раб. дн, частичная приёмка вехи.</t>
  </si>
  <si>
    <t xml:space="preserve">С-01, С-02, С-03</t>
  </si>
  <si>
    <t xml:space="preserve">2.1, 2.3, 3.1–3.5, 5.1; Т-01…Т-15</t>
  </si>
  <si>
    <t xml:space="preserve">К 31.10 не подтверждены допущения со статусом «подтвердить»; на демонстрации больше 2 замечаний, меняющих согласованное поведение; запрос на изменение больше 8 ч.</t>
  </si>
  <si>
    <t xml:space="preserve">Снижение</t>
  </si>
  <si>
    <t xml:space="preserve">Подтвердить допущения на интервью в нулевом спринте (до 31.10); показывать макеты экранов (2.3) до разработки пакета; приоритизация MoSCoW и story map в фазе 4; все изменения — через журнал изменений с оценкой в часах.</t>
  </si>
  <si>
    <t xml:space="preserve">Изменения до 8 ч без влияния на Must принимает РП (п. 4.2 устава); крупнее — запрос на изменение с пересчётом плана и выводом равного объёма Should по согласованию с Дасти; остальное — в бэклог после проекта.</t>
  </si>
  <si>
    <t xml:space="preserve">Паноченко В.В.</t>
  </si>
  <si>
    <t xml:space="preserve">31.10; далее на каждой демонстрации</t>
  </si>
  <si>
    <t xml:space="preserve">Открыт</t>
  </si>
  <si>
    <t xml:space="preserve">02.10.2026</t>
  </si>
  <si>
    <t xml:space="preserve">Р2</t>
  </si>
  <si>
    <t xml:space="preserve">Предметная область</t>
  </si>
  <si>
    <t xml:space="preserve">Правила совместимости и готовности кобылы получены поздно или неверно</t>
  </si>
  <si>
    <t xml:space="preserve">Таблицу правил (А-9) предоставляет заказчик при участии ветеринара до 14.11.2026; ветеринар — внешняя сторона, сведения идут через Дасти. Правила могут прийти позже или с ошибками.</t>
  </si>
  <si>
    <t xml:space="preserve">Задержка 4.1 и 4.2 (4.2 входит в критическую цепочку расписания), переделка проверки пар, не выполняется критерий приёмки 7.</t>
  </si>
  <si>
    <t xml:space="preserve">С-01, С-07</t>
  </si>
  <si>
    <t xml:space="preserve">4.1, 4.2; Т-07; критерий 7</t>
  </si>
  <si>
    <t xml:space="preserve">К 06.11 (плановое окончание 4.1) таблица правил не получена или не согласована; в правилах нет порогов (степень родства, сроки готовности).</t>
  </si>
  <si>
    <t xml:space="preserve">Отправить заказчику шаблон таблицы правил с примерами в начале 4.1 (29.10); напомнить за неделю до срока; согласовать пороги на интервью; пять недопустимых и три допустимые контрольные пары включить в демоданные (2.5).</t>
  </si>
  <si>
    <t xml:space="preserve">По А-9 — рабочий набор правил команды (родство до 2-го поколения, занятость жеребца, отметка готовности) с пометкой «не подтверждено заказчиком». Правила хранятся таблицей, замена не требует переделки 4.2.</t>
  </si>
  <si>
    <t xml:space="preserve">Лопатин Д.И.</t>
  </si>
  <si>
    <t xml:space="preserve">29.10 (запрос); 06.11; 14.11</t>
  </si>
  <si>
    <t xml:space="preserve">Р3</t>
  </si>
  <si>
    <t xml:space="preserve">Недостаточно данных для справок, не определено понятие «контакт»</t>
  </si>
  <si>
    <t xml:space="preserve">Справки ядра (Т-03, Т-04) зависят от определения «контакта» (А-7) и состава записей размещения (А-8); оба допущения не подтверждены. Демоданные могут не покрывать сценарии справок.</t>
  </si>
  <si>
    <t xml:space="preserve">Справки — ядро продукта (Ц1, Must): переделка 3.4, 3.5 и демоданных, не проходят критерии 3–4.</t>
  </si>
  <si>
    <t xml:space="preserve">С-08, С-09, С-01</t>
  </si>
  <si>
    <t xml:space="preserve">2.5, 3.2, 3.4, 3.5; Т-03, Т-04; критерии 3–4</t>
  </si>
  <si>
    <t xml:space="preserve">А-7, А-8 не подтверждены к 31.10; при тестировании (6.2) справка за период пустая или неполная; заказчик называет другие признаки контакта.</t>
  </si>
  <si>
    <t xml:space="preserve">Подтвердить А-7, А-8 на интервью нулевого спринта; строить демоданные (2.5) от сценариев справок: не менее 25 записей размещения, контрольные случаи контактов; тест-кейсы справок — до начала 3.4 и 3.5.</t>
  </si>
  <si>
    <t xml:space="preserve">Зафиксировать определение А-7 как рабочее в журнале изменений; сделать тип контакта (случка / совместное размещение) фильтром справки, чтобы новое определение добавлялось без переделки; дополнить демоданные силами аналитика и тестировщика.</t>
  </si>
  <si>
    <t xml:space="preserve">31.10; 03.11 (конец 2.5); 03.12</t>
  </si>
  <si>
    <t xml:space="preserve">Р4</t>
  </si>
  <si>
    <t xml:space="preserve">Регуляторные</t>
  </si>
  <si>
    <t xml:space="preserve">Поля реестра не соответствуют требованиям породной ассоциации и учёта поголовья</t>
  </si>
  <si>
    <t xml:space="preserve">Состав полей реестра (Т-01) строится по описаниям заказчика; юридическая проверка норм штата Техас и ассоциации в проект не входит (п. 2.3 устава).</t>
  </si>
  <si>
    <t xml:space="preserve">Доработка карточки лошади и заглушки обмена с ассоциацией (6.1), повторный показ на следующей вехе.</t>
  </si>
  <si>
    <t xml:space="preserve">С-06, С-08</t>
  </si>
  <si>
    <t xml:space="preserve">3.1, 6.1; Т-01; критерий 1</t>
  </si>
  <si>
    <t xml:space="preserve">На В1 (14.11) заказчик называет недостающие поля; ассоциация или регулятор требует иной формат данных (через заказчика).</t>
  </si>
  <si>
    <t xml:space="preserve">Передача</t>
  </si>
  <si>
    <t xml:space="preserve">Ответственность за состав полей несёт заказчик: список полей карточки утверждается Дасти до начала 3.1 (05.11). Родословная хранится в расширяемой структуре.</t>
  </si>
  <si>
    <t xml:space="preserve">Недостающие поля в пределах 8 ч добавляются решением РП (п. 4.2 устава) в ближайшей итерации; больше — запрос на изменение.</t>
  </si>
  <si>
    <t xml:space="preserve">05.11; 14.11 (В1)</t>
  </si>
  <si>
    <t xml:space="preserve">Р5</t>
  </si>
  <si>
    <t xml:space="preserve">Сроки</t>
  </si>
  <si>
    <t xml:space="preserve">Срыв финальной приёмки 26.12.2026</t>
  </si>
  <si>
    <t xml:space="preserve">Заказчику нужна работающая система к сезону (начало февраля), поэтому финальная приёмка 26.12 жёсткая. По расписанию (вариант Б) приёмка 6.3 заканчивается 18.12, запас 5,1 раб. дн, P(успеть) = 96%. Критическая цепочка: 2.2 → 2.5 → 3.1 → 3.2 → 3.5 → 4.2 → 6.3.</t>
  </si>
  <si>
    <t xml:space="preserve">Не выполняются Ц6–Ц7, удерживается платёж В4 (30%), досдача в резерве до 31.12 или за пределами семестра.</t>
  </si>
  <si>
    <t xml:space="preserve">С-01</t>
  </si>
  <si>
    <t xml:space="preserve">2.2, 2.5, 3.1, 3.2, 3.5, 4.2, 6.3</t>
  </si>
  <si>
    <t xml:space="preserve">Отставание пакета критической цепочки больше 2 раб. дн; до 07.12 израсходовано больше половины запаса (2,5 раб. дн); SV &lt; −10% на вехе.</t>
  </si>
  <si>
    <t xml:space="preserve">Еженедельно сверять старт и финиш пакетов цепочки с расписанием; запас 5,1 раб. дн не тратить на некритичные работы; исполнители цепочки (Горбов, Кодинцев) не берут задачи вне цепочки; прогон по чек-листу до 6.3.</t>
  </si>
  <si>
    <t xml:space="preserve">По согласованию с Дасти урезать 5.1 (Should) — Паноченко и Нгуен помогают в 3.5 и 4.2; замечания приёмки досдать в резерве до 31.12 (п. 3.1 устава); сдвиг вехи — только с согласия заказчика и куратора.</t>
  </si>
  <si>
    <t xml:space="preserve">Еженедельно; вехи В1–В4</t>
  </si>
  <si>
    <t xml:space="preserve">Р6</t>
  </si>
  <si>
    <t xml:space="preserve">Расширение ожиданий за границы проекта («система на вырост»)</t>
  </si>
  <si>
    <t xml:space="preserve">Внешние стороны подталкивают заказчика к функциям вне границ п. 2.3: складской учёт и заказы поставщикам, автоматическая отправка данных страховщикам и регуляторам, реальные интеграции.</t>
  </si>
  <si>
    <t xml:space="preserve">Незапланированная работа, вытеснение Must-пакетов, срыв вех.</t>
  </si>
  <si>
    <t xml:space="preserve">С-01, С-08, С-09, С-11</t>
  </si>
  <si>
    <t xml:space="preserve">5.4, 6.1; Т-05, Т-12</t>
  </si>
  <si>
    <t xml:space="preserve">Запросы, выходящие за п. 2.3 устава («а ещё пусть система сама…»); запрос на изменение без указания, что убрать из объёма.</t>
  </si>
  <si>
    <t xml:space="preserve">Уклонение</t>
  </si>
  <si>
    <t xml:space="preserve">Границы закреплены в п. 2.3 и подписаны заказчиком. На каждой демонстрации сверять запросы с п. 2.3; любой запрос — в журнал изменений с оценкой в часах и влиянием на вехи; напоминать о позиции заказчика «не система на вырост».</t>
  </si>
  <si>
    <t xml:space="preserve">Принять изменение только с выводом равного объёма Should/Could и согласием Дасти (свыше 8 ч); крупные функции — отдельной договорённостью после проекта (как мобильное приложение, А-17).</t>
  </si>
  <si>
    <t xml:space="preserve">При каждом запросе на изменение</t>
  </si>
  <si>
    <t xml:space="preserve">Р7</t>
  </si>
  <si>
    <t xml:space="preserve">Ресурсы (команда)</t>
  </si>
  <si>
    <t xml:space="preserve">Нехватка времени участников из-за учёбы</t>
  </si>
  <si>
    <t xml:space="preserve">Фонд времени ограничен учебной нагрузкой; базовый план требует 68 ч/нед (+2 ч каждому). Ноябрь–декабрь — контрольные и зачётная неделя, возможны болезни.</t>
  </si>
  <si>
    <t xml:space="preserve">Недоработка часов в пакетах, сдвиг критической цепочки, неравномерный вклад участников.</t>
  </si>
  <si>
    <t xml:space="preserve">С-05</t>
  </si>
  <si>
    <t xml:space="preserve">Все пакеты 2.2–6.4</t>
  </si>
  <si>
    <t xml:space="preserve">Фактические часы участника в трекере ниже 80% плана две недели подряд; задача «В процессе» дольше плановой длительности; участник предупреждает о сессии или болезни.</t>
  </si>
  <si>
    <t xml:space="preserve">План с загрузкой 63–81% фонда (запас); еженедельная сверка часов в трекере; заранее собрать график зачётов и учесть при планировании итераций 3–4; пары взаимозамены: Кодинцев ↔ Нгуен, Паноченко ↔ Шунулин.</t>
  </si>
  <si>
    <t xml:space="preserve">РП перераспределяет до 10% трудоёмкости между пакетами итерации (п. 4.2 устава); выбывшего заменяет напарник; при долгом выбытии — урезание 5.1 по согласованию и сообщение куратору.</t>
  </si>
  <si>
    <t xml:space="preserve">Еженедельно; особо 07.12–25.12</t>
  </si>
  <si>
    <t xml:space="preserve">Р8</t>
  </si>
  <si>
    <t xml:space="preserve">Стоимость</t>
  </si>
  <si>
    <t xml:space="preserve">Превышение плановой трудоёмкости и стоимости</t>
  </si>
  <si>
    <t xml:space="preserve">Оценки сделаны до опыта работы с инструментами; фактические часы могут превысить E по PERT. Стоимость варианта Б — 34 706 USD, с резервом 10% — 38 177 USD, потолок — 50 000 USD.</t>
  </si>
  <si>
    <t xml:space="preserve">CV &lt; 0, рост EAC; при выходе за 38 177 USD — расход запаса до потолка по согласованию с заказчиком; нарушение Ц7 (отклонения не более 10%).</t>
  </si>
  <si>
    <t xml:space="preserve">С-05, С-01</t>
  </si>
  <si>
    <t xml:space="preserve">Все пакеты; Ц7</t>
  </si>
  <si>
    <t xml:space="preserve">На вехе CPI &lt; 0,9 или CV &lt; −10%; фактические часы пакета превысили пессимистическую оценку P; EAC &gt; 38 177 USD.</t>
  </si>
  <si>
    <t xml:space="preserve">Принятие (активное)</t>
  </si>
  <si>
    <t xml:space="preserve">Резерв на риски 10% от стоимости; учёт фактических часов по каждой задаче; расчёт CV, SV, EAC на каждой вехе; пересмотр оценок оставшихся пакетов по фактической velocity после итерации 1.</t>
  </si>
  <si>
    <t xml:space="preserve">РП расходует резерв в пределах полномочий п. 4.2 устава; сверх лимитов — согласование с Дасти и Тэмми; при прогнозе выхода за потолок — урезание Should.</t>
  </si>
  <si>
    <t xml:space="preserve">На каждой вехе (В1–В4)</t>
  </si>
  <si>
    <t xml:space="preserve">Р9</t>
  </si>
  <si>
    <t xml:space="preserve">Задержка или пропуски данных ветеринара</t>
  </si>
  <si>
    <t xml:space="preserve">Ветеринар приходящий, записи о готовности и состоянии вносит Дасти по его сведениям (А-10). Сведения для правил готовности и сценариев ввода записей приходят с задержкой или неполными.</t>
  </si>
  <si>
    <t xml:space="preserve">Неполные правила готовности (критерий 7), неточный сценарий ввода записей (3.3).</t>
  </si>
  <si>
    <t xml:space="preserve">С-07, С-01, С-04</t>
  </si>
  <si>
    <t xml:space="preserve">3.3, 4.1; Т-06</t>
  </si>
  <si>
    <t xml:space="preserve">К 06.11 нет сведений о признаках готовности кобылы; Дасти сообщает, что ветеринар недоступен.</t>
  </si>
  <si>
    <t xml:space="preserve">Демоданные вымышленные (А-16) и не зависят от реальных записей ветеринара; форма ввода — не более 7 полей и 3 шагов (критерий 6); вопросы к ветеринару передавать через Дасти одним списком.</t>
  </si>
  <si>
    <t xml:space="preserve">Рабочие правила готовности команды (А-9) с пометкой; уточнения ветеринара — в следующей итерации как малое изменение.</t>
  </si>
  <si>
    <t xml:space="preserve">06.11; В2</t>
  </si>
  <si>
    <t xml:space="preserve">Р10</t>
  </si>
  <si>
    <t xml:space="preserve">Организационные</t>
  </si>
  <si>
    <t xml:space="preserve">Разногласия по приёмке</t>
  </si>
  <si>
    <t xml:space="preserve">Критерии чек-листа трактуются заказчиком и командой по-разному. После запроса на изменение № 1 критерии 8 и 11 уточняются, 9 и 10 снимаются — возможна путаница.</t>
  </si>
  <si>
    <t xml:space="preserve">Частичная приёмка вехи и оплата доли, повторная доработка, конфликт с заказчиком.</t>
  </si>
  <si>
    <t xml:space="preserve">С-01, С-02</t>
  </si>
  <si>
    <t xml:space="preserve">6.3; чек-лист п. 2.4 устава</t>
  </si>
  <si>
    <t xml:space="preserve">На демонстрации критерий Must не принят или оспорен; замечание приёмки без опоры на критерии; заказчик ожидает функцию, снятую запросом на изменение № 1.</t>
  </si>
  <si>
    <t xml:space="preserve">Снижение; при споре — эскалация</t>
  </si>
  <si>
    <t xml:space="preserve">Тестировщик прогоняет чек-лист вехи за 2 дня до пары; уточнённую редакцию чек-листа (после ЗИ № 1) согласовать с Дасти письменно; решение по каждому критерию фиксировать в GitHub Issues.</t>
  </si>
  <si>
    <t xml:space="preserve">Эскалация куратору (Золотухин Р.О.); частичная приёмка с оплатой доли по принятым Must (п. 2.4 устава), доработка и повторная проверка до следующей пары.</t>
  </si>
  <si>
    <t xml:space="preserve">Сибирко И.С.</t>
  </si>
  <si>
    <t xml:space="preserve">За 2 дня до каждой пары</t>
  </si>
  <si>
    <t xml:space="preserve">Р11</t>
  </si>
  <si>
    <t xml:space="preserve">Запрос на изменение № 1 не согласован</t>
  </si>
  <si>
    <t xml:space="preserve">Базовый план (вариант Б) опирается на ЗИ № 1: +2 ч/нед каждому и исключение 4.3, 5.2, 5.3, 5.4. Заказчик может не согласиться на потерю счетов (Ц5) и очереди (Ц4), куратор или участники — на рост часов.</t>
  </si>
  <si>
    <t xml:space="preserve">При 54 ч/нед даже Must + 5.1 заканчиваются 13.01.2027; полный объём не укладывается в срок даже при 82 ч/нед (окончание 29.12.2026).</t>
  </si>
  <si>
    <t xml:space="preserve">С-01, С-02, С-05, куратор</t>
  </si>
  <si>
    <t xml:space="preserve">4.3, 5.1–5.4; Ц4, Ц5; критерии 8–11</t>
  </si>
  <si>
    <t xml:space="preserve">На паре 17.10 ЗИ № 1 отклонён полностью или частично; заказчик требует вернуть счета или очередь; участник не может дать +2 ч/нед.</t>
  </si>
  <si>
    <t xml:space="preserve">Показать расчёт сценариев (книга «Сетевой график и PERT», лист «Сценарии») и вероятности срока; дать заказчику выбор: 5.1 (роль клиента) или 4.3 (очередь) — с тем же сроком; до пары подтвердить у каждого участника +2 ч/нед.</t>
  </si>
  <si>
    <t xml:space="preserve">Если заказчик выбирает 4.3 — сценарий «Must + 4.3 вместо 5.1» (окончание 18.12, но без роли клиента в Ц6). Если +2 ч/нед не согласованы — часть экранов (5.1, 4.2) понизить до кликабельного макета по согласованию с заказчиком и куратором. Счета (5.3) — первыми в бэклог после проекта.</t>
  </si>
  <si>
    <t xml:space="preserve">17.10 (пара фазы 3)</t>
  </si>
  <si>
    <t xml:space="preserve">Ожидает решения</t>
  </si>
  <si>
    <t xml:space="preserve">Р12</t>
  </si>
  <si>
    <t xml:space="preserve">Один разработчик серверной части на критической цепочке</t>
  </si>
  <si>
    <t xml:space="preserve">Серверная логика, API и БД (2.2, 3.1, 3.2, 3.5, 4.2) — у Горбова Н.В. (8 ч/нед в плане); в ноябре–декабре его загрузка 100%. Участника с теми же навыками в команде нет.</t>
  </si>
  <si>
    <t xml:space="preserve">Любое выбытие или задержка сдвигает критическую цепочку и финальную приёмку.</t>
  </si>
  <si>
    <t xml:space="preserve">2.2, 3.1, 3.2, 3.5, 4.2</t>
  </si>
  <si>
    <t xml:space="preserve">Задача серверной части просрочена больше чем на 2 раб. дня; Горбов недоступен больше 3 раб. дней; рост числа дефектов серверной части в 6.2.</t>
  </si>
  <si>
    <t xml:space="preserve">Схему БД и API описывать в репозитории по ходу 2.2; использовать готовый бэкенд-сервис (Supabase / PocketBase), чтобы сократить собственный код; Паноченко делает ревью кода и умеет развернуть стенд.</t>
  </si>
  <si>
    <t xml:space="preserve">Часть серверной логики переносится в готовый сервис или low-code; Паноченко или Нгуен подключаются к задачам бэкенда с генерацией кода LLM; при долгом выбытии — урезание 5.1 и сообщение куратору.</t>
  </si>
  <si>
    <t xml:space="preserve">Горбов Н.В.</t>
  </si>
  <si>
    <t xml:space="preserve">Еженедельно, 19.10–16.12</t>
  </si>
  <si>
    <t xml:space="preserve">Р13</t>
  </si>
  <si>
    <t xml:space="preserve">Технические</t>
  </si>
  <si>
    <t xml:space="preserve">Сложность освоения инструментов и лимиты бесплатных тарифов</t>
  </si>
  <si>
    <t xml:space="preserve">Стек (клиент, сервер, БД, Figma, хостинг демостенда) осваивается впервые; бесплатные тарифы ограничены (число проектов, «засыпание» хостинга, лимиты БД). Лицензионное ПО не предусмотрено (п. 5.6 устава).</t>
  </si>
  <si>
    <t xml:space="preserve">Превышение оценок 2.2 и 2.4, задержка старта 3.1; демостенд недоступен на паре.</t>
  </si>
  <si>
    <t xml:space="preserve">2.2, 2.4, 3.1, 6.3</t>
  </si>
  <si>
    <t xml:space="preserve">2.4 не завершён к 22.10; 2.2 превысил пессимистическую оценку 48 ч; сквозная связка «экран — API — БД» не работает к 31.10; уведомление о лимите тарифа.</t>
  </si>
  <si>
    <t xml:space="preserve">В 2.4 собрать пробный сквозной прототип «экран — API — БД» до 31.10; выбирать инструменты с проверенными бесплатными лимитами; репетиция демонстрации на стенде за день до пары.</t>
  </si>
  <si>
    <t xml:space="preserve">Замена инструмента аналогом (Penpot вместо Figma, PocketBase вместо Supabase, другой бесплатный хостинг); демонстрация с локального запуска.</t>
  </si>
  <si>
    <t xml:space="preserve">22.10; 29.10; 31.10</t>
  </si>
  <si>
    <t xml:space="preserve">Р14</t>
  </si>
  <si>
    <t xml:space="preserve">Потеря данных или недоступность репозитория и демостенда</t>
  </si>
  <si>
    <t xml:space="preserve">Сбой стенда, удаление базы, ошибка слияния в репозитории перед демонстрацией.</t>
  </si>
  <si>
    <t xml:space="preserve">Сорванная демонстрация вехи, восстановление демоданных и артефактов.</t>
  </si>
  <si>
    <t xml:space="preserve">2.4, 2.5, 6.3, 6.4</t>
  </si>
  <si>
    <t xml:space="preserve">Стенд не отвечает; повреждены демоданные; конфликт слияния в основной ветке перед парой.</t>
  </si>
  <si>
    <t xml:space="preserve">Код и артефакты только в GitHub, защита основной ветки, слияние через pull request; демоданные загружаются скриптом из репозитория; копия базы перед каждой парой.</t>
  </si>
  <si>
    <t xml:space="preserve">Восстановить стенд из репозитория и скрипта демоданных; показать демонстрацию с локального запуска.</t>
  </si>
  <si>
    <t xml:space="preserve">Шунулин Р.А.</t>
  </si>
  <si>
    <t xml:space="preserve">Перед каждой парой</t>
  </si>
  <si>
    <t xml:space="preserve">Р15</t>
  </si>
  <si>
    <t xml:space="preserve">Визуальный стиль не принят заказчиком</t>
  </si>
  <si>
    <t xml:space="preserve">Т-13 (Must): стиль «племенной книги», без элементов приложений для знакомств; критерий 12 проверяется на всех вехах. Образец стиля согласуется на итерации 1.</t>
  </si>
  <si>
    <t xml:space="preserve">Переделка экранов на нескольких вехах, не принят критерий 12.</t>
  </si>
  <si>
    <t xml:space="preserve">2.3, 3.1; Т-13; критерий 12</t>
  </si>
  <si>
    <t xml:space="preserve">Образец стиля не согласован к 28.10 (конец 2.3); на В1 заказчик видит сходство с приложением знакомств (карточки, свайпы, «матчи»).</t>
  </si>
  <si>
    <t xml:space="preserve">Согласовать 3–5 референсов до вёрстки; запретить в гайде стиля карточки-«матчи», свайпы и лайки; список допустимых пар показывать таблицей, а не карточками.</t>
  </si>
  <si>
    <t xml:space="preserve">Доработка стиля в итерации 2 силами дизайнеров за счёт перераспределения до 10% трудоёмкости.</t>
  </si>
  <si>
    <t xml:space="preserve">Кодинцев А.В.</t>
  </si>
  <si>
    <t xml:space="preserve">28.10; 14.11 (В1)</t>
  </si>
  <si>
    <t xml:space="preserve">Р16</t>
  </si>
  <si>
    <t xml:space="preserve">Регулятор меняет или ужесточает требования к справкам</t>
  </si>
  <si>
    <t xml:space="preserve">Техасский департамент сельского хозяйства и местные власти могут запросить сведения в своей форме (например, при вспышке заболевания в округе). Заказчик допускал отдельное обсуждение «удобной выгрузки для департамента».</t>
  </si>
  <si>
    <t xml:space="preserve">Запрос на воспроизведение официальной формы (вне п. 2.3), переделка справки «Перемещения и контакты» и выгрузки (Т-05).</t>
  </si>
  <si>
    <t xml:space="preserve">С-08, С-01</t>
  </si>
  <si>
    <t xml:space="preserve">3.5, 6.1; Т-04, Т-05</t>
  </si>
  <si>
    <t xml:space="preserve">Заказчик приносит официальный бланк или запрос департамента; просит изменить состав справки после её показа.</t>
  </si>
  <si>
    <t xml:space="preserve">Официальные формы вне границ (п. 2.3). Зафиксировать состав справки у заказчика до начала 3.5 (25.11); выгрузку делать заглушкой с образцом файла (А-5).</t>
  </si>
  <si>
    <t xml:space="preserve">Запрос на изменение с дополнительными затратами — заказчик готов обсуждать это отдельно (запас до потолка); иначе — в бэклог после проекта.</t>
  </si>
  <si>
    <t xml:space="preserve">25.11; В3</t>
  </si>
  <si>
    <t xml:space="preserve">Р17</t>
  </si>
  <si>
    <t xml:space="preserve">Рыночные (бизнес)</t>
  </si>
  <si>
    <t xml:space="preserve">Конкуренты запускают удобную онлайн-запись</t>
  </si>
  <si>
    <t xml:space="preserve">У соседних ранчо уже есть онлайн-запись. Уход клиентов может заставить заказчика срочно поднять приоритет кабинета клиента и заказа семени (5.1, 5.2).</t>
  </si>
  <si>
    <t xml:space="preserve">Запрос на изменение приоритетов в итерациях 3–4, возврат 5.2 в объём.</t>
  </si>
  <si>
    <t xml:space="preserve">С-10, С-03</t>
  </si>
  <si>
    <t xml:space="preserve">5.1, 5.2; Т-09</t>
  </si>
  <si>
    <t xml:space="preserve">Дасти сообщает об уходе клиентов к соседям или просит вернуть заказ семени с доставкой.</t>
  </si>
  <si>
    <t xml:space="preserve">5.1 сохранён в базовом плане; 5.2 — первый кандидат на возврат при освободившемся ресурсе; в 5.1 заложить поле «тип услуги» для будущего заказа семени.</t>
  </si>
  <si>
    <t xml:space="preserve">Возврат 5.2 запросом на изменение взамен равного объёма; при нехватке ресурса — в бэклог после проекта.</t>
  </si>
  <si>
    <t xml:space="preserve">Нгуен Д.В.</t>
  </si>
  <si>
    <t xml:space="preserve">На каждой демонстрации</t>
  </si>
  <si>
    <t xml:space="preserve">Итого рисков</t>
  </si>
  <si>
    <t xml:space="preserve">Высокий</t>
  </si>
  <si>
    <t xml:space="preserve">Средний</t>
  </si>
  <si>
    <t xml:space="preserve">Низкий</t>
  </si>
  <si>
    <t xml:space="preserve">Р1–Р10 — риски из устава (п. 1.5), номера сохранены; Р11–Р17 выявлены при составлении базового плана (фаза 3). Источники — номера сторон из реестра заинтересованных сторон. P и I — по шкалам листа «Методика», балл и приоритет считаются формулами. Ранг — место по баллу (при равенстве — по номеру). Синий шрифт — входные значения.</t>
  </si>
  <si>
    <t xml:space="preserve">Матрица вероятности и влияния</t>
  </si>
  <si>
    <t xml:space="preserve">В ячейке — номера рисков с такими P и I (формулы по листу «Реестр рисков»). Цвет зоны: красный — высокий приоритет (балл ≥ 12), жёлтый — средний (6–11), зелёный — низкий (≤ 5).</t>
  </si>
  <si>
    <t xml:space="preserve">Вероятность ↓ / Влияние →</t>
  </si>
  <si>
    <t xml:space="preserve">1 — незначит.</t>
  </si>
  <si>
    <t xml:space="preserve">2 — малое</t>
  </si>
  <si>
    <t xml:space="preserve">3 — умеренное</t>
  </si>
  <si>
    <t xml:space="preserve">4 — значит.</t>
  </si>
  <si>
    <t xml:space="preserve">5 — критич.</t>
  </si>
  <si>
    <t xml:space="preserve">Рейтинг рисков по баллу</t>
  </si>
  <si>
    <t xml:space="preserve">очень высокая</t>
  </si>
  <si>
    <t xml:space="preserve">Балл</t>
  </si>
  <si>
    <t xml:space="preserve">высокая</t>
  </si>
  <si>
    <t xml:space="preserve">средняя</t>
  </si>
  <si>
    <t xml:space="preserve">низкая</t>
  </si>
  <si>
    <t xml:space="preserve">очень низкая</t>
  </si>
  <si>
    <t xml:space="preserve">Распределение по категориям</t>
  </si>
  <si>
    <t xml:space="preserve">Всего</t>
  </si>
  <si>
    <t xml:space="preserve">Сумма баллов</t>
  </si>
  <si>
    <t xml:space="preserve">Итого</t>
  </si>
  <si>
    <t xml:space="preserve">Количественная оценка: ожидаемые потери и резерв</t>
  </si>
  <si>
    <t xml:space="preserve">Ожидаемые потери = расчётная вероятность (шкала P на листе «Методика») × потери при наступлении × ставка. Потери в часах — экспертная оценка владельца риска со сверкой по оценкам пакетов ИСР.</t>
  </si>
  <si>
    <t xml:space="preserve">Средняя ставка, USD/ч</t>
  </si>
  <si>
    <t xml:space="preserve">сводная таблица оценок (как в книге PERT)</t>
  </si>
  <si>
    <t xml:space="preserve">P (балл)</t>
  </si>
  <si>
    <t xml:space="preserve">Вероятность</t>
  </si>
  <si>
    <t xml:space="preserve">Потери при наступлении, ч</t>
  </si>
  <si>
    <t xml:space="preserve">Обоснование потерь</t>
  </si>
  <si>
    <t xml:space="preserve">Ожидаемые потери, ч</t>
  </si>
  <si>
    <t xml:space="preserve">Ожидаемые потери, USD</t>
  </si>
  <si>
    <t xml:space="preserve">Покрывается резервом</t>
  </si>
  <si>
    <t xml:space="preserve">Переделка 2–3 экранов с логикой, ≈10 ч каждый</t>
  </si>
  <si>
    <t xml:space="preserve">да</t>
  </si>
  <si>
    <t xml:space="preserve">Доработка 4.2 под новую таблицу правил + повтор 4.1</t>
  </si>
  <si>
    <t xml:space="preserve">Доработка 3.4, 3.5 и демоданных (≈ E пакета 3.5 + 12 ч)</t>
  </si>
  <si>
    <t xml:space="preserve">Новые поля карточки и формы выгрузки</t>
  </si>
  <si>
    <t xml:space="preserve">Работа команды в резерве 26–31.12 и сверх плана на цепочке</t>
  </si>
  <si>
    <t xml:space="preserve">Анализ и частичная реализация двух запросов по 8 ч</t>
  </si>
  <si>
    <t xml:space="preserve">Недоработка двух участников по 10 ч/нед в течение 2 недель</t>
  </si>
  <si>
    <t xml:space="preserve">10% остатка работ варианта Б (546,6 ч)</t>
  </si>
  <si>
    <t xml:space="preserve">Уточнение правил готовности и формы ввода</t>
  </si>
  <si>
    <t xml:space="preserve">Повторная доработка и проверка 2 критериев</t>
  </si>
  <si>
    <t xml:space="preserve">Дефицит при 54 ч/нед: 6,6 раб. дн × 54 ч / 5 ≈ 71 ч</t>
  </si>
  <si>
    <t xml:space="preserve">нет</t>
  </si>
  <si>
    <t xml:space="preserve">16 ч работы бэкенда × 2 (замена медленнее) + 8 ч ввода в задачи</t>
  </si>
  <si>
    <t xml:space="preserve">Рост 2.2 и 2.4 до пессимистических оценок: (48 − 31) + (26 − 16,7)</t>
  </si>
  <si>
    <t xml:space="preserve">Восстановление стенда, демоданных и артефактов</t>
  </si>
  <si>
    <t xml:space="preserve">Переработка стиля ключевых экранов</t>
  </si>
  <si>
    <t xml:space="preserve">Переделка справки и образца выгрузки</t>
  </si>
  <si>
    <t xml:space="preserve">E пакета 5.2 = 16,7 ч</t>
  </si>
  <si>
    <t xml:space="preserve">в т.ч. покрывается резервом</t>
  </si>
  <si>
    <t xml:space="preserve">Р11 резервом не покрывается: он решается составом объёма (запрос на изменение № 1), а не деньгами. Риски частично пересекаются (Р5 с Р7 и Р12), поэтому сумма — верхняя оценка.</t>
  </si>
  <si>
    <t xml:space="preserve">Сверка с резервом и фондом времени (вариант Б)</t>
  </si>
  <si>
    <t xml:space="preserve">Показатель</t>
  </si>
  <si>
    <t xml:space="preserve">Значение</t>
  </si>
  <si>
    <t xml:space="preserve">Источник / формула</t>
  </si>
  <si>
    <t xml:space="preserve">1</t>
  </si>
  <si>
    <t xml:space="preserve">Стоимость работ (BAC), USD</t>
  </si>
  <si>
    <t xml:space="preserve">Книга «Расписание», лист «Вехи»: BAC варианта Б</t>
  </si>
  <si>
    <t xml:space="preserve">2</t>
  </si>
  <si>
    <t xml:space="preserve">Доля резерва на риски</t>
  </si>
  <si>
    <t xml:space="preserve">Устав, п. 3.2</t>
  </si>
  <si>
    <t xml:space="preserve">3</t>
  </si>
  <si>
    <t xml:space="preserve">Резерв на риски, USD</t>
  </si>
  <si>
    <t xml:space="preserve">стр. 1 × стр. 2</t>
  </si>
  <si>
    <t xml:space="preserve">4</t>
  </si>
  <si>
    <t xml:space="preserve">Ожидаемые потери (покрываемые резервом), USD</t>
  </si>
  <si>
    <t xml:space="preserve">итог таблицы выше</t>
  </si>
  <si>
    <t xml:space="preserve">5</t>
  </si>
  <si>
    <t xml:space="preserve">Покрытие ожидаемых потерь резервом</t>
  </si>
  <si>
    <t xml:space="preserve">стр. 3 / стр. 4</t>
  </si>
  <si>
    <t xml:space="preserve">6</t>
  </si>
  <si>
    <t xml:space="preserve">Потолок бюджета, USD</t>
  </si>
  <si>
    <t xml:space="preserve">7</t>
  </si>
  <si>
    <t xml:space="preserve">BAC + ожидаемые потери, USD</t>
  </si>
  <si>
    <t xml:space="preserve">стр. 1 + стр. 4</t>
  </si>
  <si>
    <t xml:space="preserve">8</t>
  </si>
  <si>
    <t xml:space="preserve">Запас до потолка после ожидаемых потерь, USD</t>
  </si>
  <si>
    <t xml:space="preserve">стр. 6 − стр. 7</t>
  </si>
  <si>
    <t xml:space="preserve">9</t>
  </si>
  <si>
    <t xml:space="preserve">Фонд времени 19.10–31.12 (68 ч/нед), ч</t>
  </si>
  <si>
    <t xml:space="preserve">Книга PERT, лист «Сценарии», вариант Б</t>
  </si>
  <si>
    <t xml:space="preserve">10</t>
  </si>
  <si>
    <t xml:space="preserve">Остаток работ варианта Б, ч</t>
  </si>
  <si>
    <t xml:space="preserve">11</t>
  </si>
  <si>
    <t xml:space="preserve">Свободный фонд, ч</t>
  </si>
  <si>
    <t xml:space="preserve">стр. 9 − стр. 10</t>
  </si>
  <si>
    <t xml:space="preserve">12</t>
  </si>
  <si>
    <t xml:space="preserve">Ожидаемые потери (покрываемые резервом), ч</t>
  </si>
  <si>
    <t xml:space="preserve">13</t>
  </si>
  <si>
    <t xml:space="preserve">Свободный фонд после ожидаемых потерь, ч</t>
  </si>
  <si>
    <t xml:space="preserve">стр. 11 − стр. 12</t>
  </si>
  <si>
    <t xml:space="preserve">Вывод: резерв 10% покрывает меньше половины ожидаемых потерь, но вместе с запасом до потолка бюджет держится — BAC с ожидаемыми потерями остаётся ниже 50 000 USD. По времени свободного фонда хватает на ожидаемые потери, однако он распределён неравномерно: дизайнеры и разработчик в ноябре–декабре загружены на 100%, поэтому главные риски по срокам (Р5, Р7, Р12) закрываются мерами и планом Б, а не резервом. Предложение к утверждению базового плана: принять резерв на риски равным сумме ожидаемых потерь (стр. 4) в пределах запаса до потолка — по согласованию с заказчиком (п. 4.2 устава).</t>
  </si>
  <si>
    <t xml:space="preserve">Методика оценки рисков</t>
  </si>
  <si>
    <t xml:space="preserve">Шкала вероятности (P)</t>
  </si>
  <si>
    <t xml:space="preserve">Уровень</t>
  </si>
  <si>
    <t xml:space="preserve">Диапазон</t>
  </si>
  <si>
    <t xml:space="preserve">Расчётная вероятность</t>
  </si>
  <si>
    <t xml:space="preserve">Признаки</t>
  </si>
  <si>
    <t xml:space="preserve">Очень низкая</t>
  </si>
  <si>
    <t xml:space="preserve">менее 10%</t>
  </si>
  <si>
    <t xml:space="preserve">В похожих учебных проектах не встречалось, есть надёжная защита</t>
  </si>
  <si>
    <t xml:space="preserve">Низкая</t>
  </si>
  <si>
    <t xml:space="preserve">10–30%</t>
  </si>
  <si>
    <t xml:space="preserve">Возможно при неблагоприятном стечении обстоятельств</t>
  </si>
  <si>
    <t xml:space="preserve">Средняя</t>
  </si>
  <si>
    <t xml:space="preserve">30–50%</t>
  </si>
  <si>
    <t xml:space="preserve">Встречается регулярно; есть предпосылки в данных проекта</t>
  </si>
  <si>
    <t xml:space="preserve">Высокая</t>
  </si>
  <si>
    <t xml:space="preserve">50–70%</t>
  </si>
  <si>
    <t xml:space="preserve">Предпосылки уже видны (неподтверждённые допущения, загрузка близка к 100%)</t>
  </si>
  <si>
    <t xml:space="preserve">Очень высокая</t>
  </si>
  <si>
    <t xml:space="preserve">более 70%</t>
  </si>
  <si>
    <t xml:space="preserve">Почти наверняка произойдёт без мер</t>
  </si>
  <si>
    <t xml:space="preserve">Шкала влияния (I) — берётся наихудшее из измерений</t>
  </si>
  <si>
    <t xml:space="preserve">Доп. трудозатраты</t>
  </si>
  <si>
    <t xml:space="preserve">Объём и качество</t>
  </si>
  <si>
    <t xml:space="preserve">Незначительное</t>
  </si>
  <si>
    <t xml:space="preserve">менее 8 ч</t>
  </si>
  <si>
    <t xml:space="preserve">Вехи не затронуты</t>
  </si>
  <si>
    <t xml:space="preserve">Косметические замечания</t>
  </si>
  <si>
    <t xml:space="preserve">В пределах полномочий РП, резерв не нужен</t>
  </si>
  <si>
    <t xml:space="preserve">Малое</t>
  </si>
  <si>
    <t xml:space="preserve">8–16 ч</t>
  </si>
  <si>
    <t xml:space="preserve">Расходуется до 2 раб. дн запаса (из 5,1)</t>
  </si>
  <si>
    <t xml:space="preserve">Замечания по Should / Could</t>
  </si>
  <si>
    <t xml:space="preserve">Расход резерва до 1 000 USD (лимит РП на случай)</t>
  </si>
  <si>
    <t xml:space="preserve">Умеренное</t>
  </si>
  <si>
    <t xml:space="preserve">16–40 ч</t>
  </si>
  <si>
    <t xml:space="preserve">Расходуется бо́льшая часть запаса; веха на грани</t>
  </si>
  <si>
    <t xml:space="preserve">Повторная доработка Must в пределах вехи; под угрозой пакет Should</t>
  </si>
  <si>
    <t xml:space="preserve">Расход заметной части резерва 10%</t>
  </si>
  <si>
    <t xml:space="preserve">Значительное</t>
  </si>
  <si>
    <t xml:space="preserve">40–80 ч</t>
  </si>
  <si>
    <t xml:space="preserve">Срыв промежуточной вехи</t>
  </si>
  <si>
    <t xml:space="preserve">Частичная приёмка вехи; урезание Should</t>
  </si>
  <si>
    <t xml:space="preserve">Резерва 10% не хватает, нужен запас до потолка</t>
  </si>
  <si>
    <t xml:space="preserve">Критическое</t>
  </si>
  <si>
    <t xml:space="preserve">более 80 ч</t>
  </si>
  <si>
    <t xml:space="preserve">Срыв финальной приёмки 26.12</t>
  </si>
  <si>
    <t xml:space="preserve">Не выполняется критерий Must или цель Ц1 / Ц6</t>
  </si>
  <si>
    <t xml:space="preserve">Выход за потолок 50 000 USD</t>
  </si>
  <si>
    <t xml:space="preserve">Приоритет: балл = P × I (от 1 до 25)</t>
  </si>
  <si>
    <t xml:space="preserve">Балл от</t>
  </si>
  <si>
    <t xml:space="preserve">Как работаем с риском</t>
  </si>
  <si>
    <t xml:space="preserve">Меры запускаются сразу; риск разбирается на каждой еженедельной синхронизации; статус — в отчёте на демонстрации</t>
  </si>
  <si>
    <t xml:space="preserve">Меры запланированы в бэклоге; признаки проверяются на каждой демонстрации</t>
  </si>
  <si>
    <t xml:space="preserve">Наблюдение; пересмотр при актуализации реестра раз в итерацию</t>
  </si>
  <si>
    <t xml:space="preserve">Стратегии реагирования на угрозы</t>
  </si>
  <si>
    <t xml:space="preserve">Смысл</t>
  </si>
  <si>
    <t xml:space="preserve">Изменить план или границы так, чтобы риск не мог наступить (закрепить границы в уставе, исключить источник).</t>
  </si>
  <si>
    <t xml:space="preserve">Переложить ответственность за последствия на сторону, которая ими управляет (состав полей утверждает заказчик).</t>
  </si>
  <si>
    <t xml:space="preserve">Уменьшить вероятность и/или влияние превентивными мерами до наступления риска.</t>
  </si>
  <si>
    <t xml:space="preserve">Мер до наступления нет или они дороже риска; заложен резерв (время, деньги) и готов план Б.</t>
  </si>
  <si>
    <t xml:space="preserve">Эскалация</t>
  </si>
  <si>
    <t xml:space="preserve">Решение вне полномочий РП и заказчика — передаётся куратору (п. 4.2 устава).</t>
  </si>
  <si>
    <t xml:space="preserve">Порядок составления и оценки</t>
  </si>
  <si>
    <t xml:space="preserve">1. Выявление. Источники рисков: устав, п. 1.5 (риски Р1–Р10, номера сохранены); реестр заинтересованных сторон, столбец «Что из этого следует»; результаты фазы 3 — сетевой график, расписание, сценарии и запрос на изменение № 1 (новые риски Р11–Р17). Источник риска указывается номером стороны из реестра (С-xx).</t>
  </si>
  <si>
    <t xml:space="preserve">2. Описание. Для каждого риска записываются причина и событие, последствия для проекта, связанные пакеты ИСР и требования, признак наступления (наблюдаемый, с датой или порогом из расписания).</t>
  </si>
  <si>
    <t xml:space="preserve">3. Экспертная оценка P и I. Участники независимо ставят баллы по шкалам выше. Если разброс больше 1 балла, авторы крайних оценок и владелец риска объясняют позицию, оценка повторяется. Итог — округлённое среднее, когда разброс сократился до 1 балла. Влияние оценивается по наихудшему из измерений шкалы.</t>
  </si>
  <si>
    <t xml:space="preserve">4. Приоритизация. Балл = P × I; приоритет определяется по порогам выше (пороги — входные ячейки, формулы реестра ссылаются на них).</t>
  </si>
  <si>
    <t xml:space="preserve">5. Количественная оценка. Ожидаемые потери = расчётная вероятность × потери при наступлении (ч) × 55 USD/ч (средняя ставка сводной таблицы оценок). Сумма сравнивается с резервом на риски 10% и свободным фондом времени (лист «Количественная оценка»).</t>
  </si>
  <si>
    <t xml:space="preserve">6. Реагирование. Для каждого риска выбирается стратегия, превентивные меры, план Б на случай наступления и владелец — участник, который следит за признаком и запускает план Б.</t>
  </si>
  <si>
    <t xml:space="preserve">7. Актуализация. Реестр пересматривается на каждой итерации (фазы 5–8): новые риски, сработавшие риски и принятые меры, изменение оценок. Изменения плана по сработавшим рискам — через журнал изменений.</t>
  </si>
  <si>
    <t xml:space="preserve">Синим шрифтом выделены входные значения (шкала вероятности, пороги приоритета, оценки P и I, потери в часах) — их можно менять, остальное пересчитывается формулами.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</si>
</sst>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0"/>
    <numFmt numFmtId="168" formatCode="0.0"/>
    <numFmt numFmtId="169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7F7F7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36"/>
    <col collapsed="false" customWidth="true" hidden="false" outlineLevel="0" max="11" min="9" style="0" width="8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5" min="14" style="0" width="42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9" min="18" style="0" width="12"/>
    <col collapsed="false" customWidth="true" hidden="false" outlineLevel="0" max="20" min="20" style="0" width="7"/>
  </cols>
  <sheetData>
    <row r="1" customFormat="false" ht="21.75" hidden="false" customHeight="tru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3" t="s">
        <v>2</v>
      </c>
      <c r="E3" s="2" t="s">
        <v>3</v>
      </c>
      <c r="F3" s="2"/>
      <c r="G3" s="2"/>
      <c r="H3" s="3" t="s">
        <v>4</v>
      </c>
    </row>
    <row r="4" customFormat="false" ht="15" hidden="false" customHeight="true" outlineLevel="0" collapsed="false">
      <c r="A4" s="2" t="s">
        <v>5</v>
      </c>
      <c r="B4" s="2"/>
      <c r="C4" s="2"/>
      <c r="D4" s="3" t="s">
        <v>6</v>
      </c>
      <c r="E4" s="2" t="s">
        <v>7</v>
      </c>
      <c r="F4" s="2"/>
      <c r="G4" s="2"/>
      <c r="H4" s="3" t="s">
        <v>8</v>
      </c>
    </row>
    <row r="5" customFormat="false" ht="15" hidden="false" customHeight="true" outlineLevel="0" collapsed="false">
      <c r="A5" s="2" t="s">
        <v>9</v>
      </c>
      <c r="B5" s="2"/>
      <c r="C5" s="2"/>
      <c r="D5" s="3" t="s">
        <v>10</v>
      </c>
      <c r="E5" s="2" t="s">
        <v>11</v>
      </c>
      <c r="F5" s="2"/>
      <c r="G5" s="2"/>
      <c r="H5" s="3" t="s">
        <v>8</v>
      </c>
    </row>
    <row r="6" customFormat="false" ht="15" hidden="false" customHeight="true" outlineLevel="0" collapsed="false">
      <c r="A6" s="2" t="s">
        <v>12</v>
      </c>
      <c r="B6" s="2"/>
      <c r="C6" s="2"/>
      <c r="D6" s="3" t="s">
        <v>13</v>
      </c>
      <c r="E6" s="2" t="s">
        <v>14</v>
      </c>
      <c r="F6" s="2"/>
      <c r="G6" s="2"/>
      <c r="H6" s="3" t="s">
        <v>15</v>
      </c>
    </row>
    <row r="8" customFormat="false" ht="33.75" hidden="false" customHeight="true" outlineLevel="0" collapsed="false">
      <c r="A8" s="4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29</v>
      </c>
      <c r="O8" s="4" t="s">
        <v>30</v>
      </c>
      <c r="P8" s="4" t="s">
        <v>31</v>
      </c>
      <c r="Q8" s="4" t="s">
        <v>32</v>
      </c>
      <c r="R8" s="4" t="s">
        <v>33</v>
      </c>
      <c r="S8" s="4" t="s">
        <v>34</v>
      </c>
      <c r="T8" s="4" t="s">
        <v>35</v>
      </c>
    </row>
    <row r="9" customFormat="false" ht="93" hidden="false" customHeight="true" outlineLevel="0" collapsed="false">
      <c r="A9" s="5" t="s">
        <v>36</v>
      </c>
      <c r="B9" s="3" t="s">
        <v>37</v>
      </c>
      <c r="C9" s="6" t="s">
        <v>38</v>
      </c>
      <c r="D9" s="3" t="s">
        <v>39</v>
      </c>
      <c r="E9" s="3" t="s">
        <v>40</v>
      </c>
      <c r="F9" s="7" t="s">
        <v>41</v>
      </c>
      <c r="G9" s="3" t="s">
        <v>42</v>
      </c>
      <c r="H9" s="3" t="s">
        <v>43</v>
      </c>
      <c r="I9" s="8" t="n">
        <v>4</v>
      </c>
      <c r="J9" s="8" t="n">
        <v>3</v>
      </c>
      <c r="K9" s="9" t="n">
        <f aca="false">I9*J9</f>
        <v>12</v>
      </c>
      <c r="L9" s="5" t="str">
        <f aca="false">IF(K9&gt;=Методика!$C$21,"Высокий",IF(K9&gt;=Методика!$C$22,"Средний","Низкий"))</f>
        <v>Высокий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R9" s="7" t="s">
        <v>49</v>
      </c>
      <c r="S9" s="7" t="s">
        <v>50</v>
      </c>
      <c r="T9" s="7" t="n">
        <f aca="false">RANK(K9,$K$9:$K$25,0)+COUNTIF($K$9:K9,K9)-1</f>
        <v>3</v>
      </c>
    </row>
    <row r="10" customFormat="false" ht="93" hidden="false" customHeight="true" outlineLevel="0" collapsed="false">
      <c r="A10" s="5" t="s">
        <v>51</v>
      </c>
      <c r="B10" s="3" t="s">
        <v>52</v>
      </c>
      <c r="C10" s="6" t="s">
        <v>53</v>
      </c>
      <c r="D10" s="3" t="s">
        <v>54</v>
      </c>
      <c r="E10" s="3" t="s">
        <v>55</v>
      </c>
      <c r="F10" s="7" t="s">
        <v>56</v>
      </c>
      <c r="G10" s="3" t="s">
        <v>57</v>
      </c>
      <c r="H10" s="3" t="s">
        <v>58</v>
      </c>
      <c r="I10" s="8" t="n">
        <v>3</v>
      </c>
      <c r="J10" s="8" t="n">
        <v>3</v>
      </c>
      <c r="K10" s="9" t="n">
        <f aca="false">I10*J10</f>
        <v>9</v>
      </c>
      <c r="L10" s="5" t="str">
        <f aca="false">IF(K10&gt;=Методика!$C$21,"Высокий",IF(K10&gt;=Методика!$C$22,"Средний","Низкий"))</f>
        <v>Средний</v>
      </c>
      <c r="M10" s="3" t="s">
        <v>44</v>
      </c>
      <c r="N10" s="3" t="s">
        <v>59</v>
      </c>
      <c r="O10" s="3" t="s">
        <v>60</v>
      </c>
      <c r="P10" s="3" t="s">
        <v>61</v>
      </c>
      <c r="Q10" s="3" t="s">
        <v>62</v>
      </c>
      <c r="R10" s="7" t="s">
        <v>49</v>
      </c>
      <c r="S10" s="7" t="s">
        <v>50</v>
      </c>
      <c r="T10" s="7" t="n">
        <f aca="false">RANK(K10,$K$9:$K$25,0)+COUNTIF($K$9:K10,K10)-1</f>
        <v>8</v>
      </c>
    </row>
    <row r="11" customFormat="false" ht="93" hidden="false" customHeight="true" outlineLevel="0" collapsed="false">
      <c r="A11" s="5" t="s">
        <v>63</v>
      </c>
      <c r="B11" s="3" t="s">
        <v>37</v>
      </c>
      <c r="C11" s="6" t="s">
        <v>64</v>
      </c>
      <c r="D11" s="3" t="s">
        <v>65</v>
      </c>
      <c r="E11" s="3" t="s">
        <v>66</v>
      </c>
      <c r="F11" s="7" t="s">
        <v>67</v>
      </c>
      <c r="G11" s="3" t="s">
        <v>68</v>
      </c>
      <c r="H11" s="3" t="s">
        <v>69</v>
      </c>
      <c r="I11" s="8" t="n">
        <v>2</v>
      </c>
      <c r="J11" s="8" t="n">
        <v>4</v>
      </c>
      <c r="K11" s="9" t="n">
        <f aca="false">I11*J11</f>
        <v>8</v>
      </c>
      <c r="L11" s="5" t="str">
        <f aca="false">IF(K11&gt;=Методика!$C$21,"Высокий",IF(K11&gt;=Методика!$C$22,"Средний","Низкий"))</f>
        <v>Средний</v>
      </c>
      <c r="M11" s="3" t="s">
        <v>44</v>
      </c>
      <c r="N11" s="3" t="s">
        <v>70</v>
      </c>
      <c r="O11" s="3" t="s">
        <v>71</v>
      </c>
      <c r="P11" s="3" t="s">
        <v>47</v>
      </c>
      <c r="Q11" s="3" t="s">
        <v>72</v>
      </c>
      <c r="R11" s="7" t="s">
        <v>49</v>
      </c>
      <c r="S11" s="7" t="s">
        <v>50</v>
      </c>
      <c r="T11" s="7" t="n">
        <f aca="false">RANK(K11,$K$9:$K$25,0)+COUNTIF($K$9:K11,K11)-1</f>
        <v>11</v>
      </c>
    </row>
    <row r="12" customFormat="false" ht="75" hidden="false" customHeight="true" outlineLevel="0" collapsed="false">
      <c r="A12" s="5" t="s">
        <v>73</v>
      </c>
      <c r="B12" s="3" t="s">
        <v>74</v>
      </c>
      <c r="C12" s="6" t="s">
        <v>75</v>
      </c>
      <c r="D12" s="3" t="s">
        <v>76</v>
      </c>
      <c r="E12" s="3" t="s">
        <v>77</v>
      </c>
      <c r="F12" s="7" t="s">
        <v>78</v>
      </c>
      <c r="G12" s="3" t="s">
        <v>79</v>
      </c>
      <c r="H12" s="3" t="s">
        <v>80</v>
      </c>
      <c r="I12" s="8" t="n">
        <v>2</v>
      </c>
      <c r="J12" s="8" t="n">
        <v>2</v>
      </c>
      <c r="K12" s="9" t="n">
        <f aca="false">I12*J12</f>
        <v>4</v>
      </c>
      <c r="L12" s="5" t="str">
        <f aca="false">IF(K12&gt;=Методика!$C$21,"Высокий",IF(K12&gt;=Методика!$C$22,"Средний","Низкий"))</f>
        <v>Низкий</v>
      </c>
      <c r="M12" s="3" t="s">
        <v>81</v>
      </c>
      <c r="N12" s="3" t="s">
        <v>82</v>
      </c>
      <c r="O12" s="3" t="s">
        <v>83</v>
      </c>
      <c r="P12" s="3" t="s">
        <v>47</v>
      </c>
      <c r="Q12" s="3" t="s">
        <v>84</v>
      </c>
      <c r="R12" s="7" t="s">
        <v>49</v>
      </c>
      <c r="S12" s="7" t="s">
        <v>50</v>
      </c>
      <c r="T12" s="7" t="n">
        <f aca="false">RANK(K12,$K$9:$K$25,0)+COUNTIF($K$9:K12,K12)-1</f>
        <v>14</v>
      </c>
    </row>
    <row r="13" customFormat="false" ht="108" hidden="false" customHeight="true" outlineLevel="0" collapsed="false">
      <c r="A13" s="5" t="s">
        <v>85</v>
      </c>
      <c r="B13" s="3" t="s">
        <v>86</v>
      </c>
      <c r="C13" s="6" t="s">
        <v>87</v>
      </c>
      <c r="D13" s="3" t="s">
        <v>88</v>
      </c>
      <c r="E13" s="3" t="s">
        <v>89</v>
      </c>
      <c r="F13" s="7" t="s">
        <v>90</v>
      </c>
      <c r="G13" s="3" t="s">
        <v>91</v>
      </c>
      <c r="H13" s="3" t="s">
        <v>92</v>
      </c>
      <c r="I13" s="8" t="n">
        <v>2</v>
      </c>
      <c r="J13" s="8" t="n">
        <v>5</v>
      </c>
      <c r="K13" s="9" t="n">
        <f aca="false">I13*J13</f>
        <v>10</v>
      </c>
      <c r="L13" s="5" t="str">
        <f aca="false">IF(K13&gt;=Методика!$C$21,"Высокий",IF(K13&gt;=Методика!$C$22,"Средний","Низкий"))</f>
        <v>Средний</v>
      </c>
      <c r="M13" s="3" t="s">
        <v>44</v>
      </c>
      <c r="N13" s="3" t="s">
        <v>93</v>
      </c>
      <c r="O13" s="3" t="s">
        <v>94</v>
      </c>
      <c r="P13" s="3" t="s">
        <v>61</v>
      </c>
      <c r="Q13" s="3" t="s">
        <v>95</v>
      </c>
      <c r="R13" s="7" t="s">
        <v>49</v>
      </c>
      <c r="S13" s="7" t="s">
        <v>50</v>
      </c>
      <c r="T13" s="7" t="n">
        <f aca="false">RANK(K13,$K$9:$K$25,0)+COUNTIF($K$9:K13,K13)-1</f>
        <v>7</v>
      </c>
    </row>
    <row r="14" customFormat="false" ht="93" hidden="false" customHeight="true" outlineLevel="0" collapsed="false">
      <c r="A14" s="5" t="s">
        <v>96</v>
      </c>
      <c r="B14" s="3" t="s">
        <v>37</v>
      </c>
      <c r="C14" s="6" t="s">
        <v>97</v>
      </c>
      <c r="D14" s="3" t="s">
        <v>98</v>
      </c>
      <c r="E14" s="3" t="s">
        <v>99</v>
      </c>
      <c r="F14" s="7" t="s">
        <v>100</v>
      </c>
      <c r="G14" s="3" t="s">
        <v>101</v>
      </c>
      <c r="H14" s="3" t="s">
        <v>102</v>
      </c>
      <c r="I14" s="8" t="n">
        <v>3</v>
      </c>
      <c r="J14" s="8" t="n">
        <v>3</v>
      </c>
      <c r="K14" s="9" t="n">
        <f aca="false">I14*J14</f>
        <v>9</v>
      </c>
      <c r="L14" s="5" t="str">
        <f aca="false">IF(K14&gt;=Методика!$C$21,"Высокий",IF(K14&gt;=Методика!$C$22,"Средний","Низкий"))</f>
        <v>Средний</v>
      </c>
      <c r="M14" s="3" t="s">
        <v>103</v>
      </c>
      <c r="N14" s="3" t="s">
        <v>104</v>
      </c>
      <c r="O14" s="3" t="s">
        <v>105</v>
      </c>
      <c r="P14" s="3" t="s">
        <v>61</v>
      </c>
      <c r="Q14" s="3" t="s">
        <v>106</v>
      </c>
      <c r="R14" s="7" t="s">
        <v>49</v>
      </c>
      <c r="S14" s="7" t="s">
        <v>50</v>
      </c>
      <c r="T14" s="7" t="n">
        <f aca="false">RANK(K14,$K$9:$K$25,0)+COUNTIF($K$9:K14,K14)-1</f>
        <v>9</v>
      </c>
    </row>
    <row r="15" customFormat="false" ht="77.25" hidden="false" customHeight="true" outlineLevel="0" collapsed="false">
      <c r="A15" s="5" t="s">
        <v>107</v>
      </c>
      <c r="B15" s="3" t="s">
        <v>108</v>
      </c>
      <c r="C15" s="6" t="s">
        <v>109</v>
      </c>
      <c r="D15" s="3" t="s">
        <v>110</v>
      </c>
      <c r="E15" s="3" t="s">
        <v>111</v>
      </c>
      <c r="F15" s="7" t="s">
        <v>112</v>
      </c>
      <c r="G15" s="3" t="s">
        <v>113</v>
      </c>
      <c r="H15" s="3" t="s">
        <v>114</v>
      </c>
      <c r="I15" s="8" t="n">
        <v>4</v>
      </c>
      <c r="J15" s="8" t="n">
        <v>4</v>
      </c>
      <c r="K15" s="9" t="n">
        <f aca="false">I15*J15</f>
        <v>16</v>
      </c>
      <c r="L15" s="5" t="str">
        <f aca="false">IF(K15&gt;=Методика!$C$21,"Высокий",IF(K15&gt;=Методика!$C$22,"Средний","Низкий"))</f>
        <v>Высокий</v>
      </c>
      <c r="M15" s="3" t="s">
        <v>44</v>
      </c>
      <c r="N15" s="3" t="s">
        <v>115</v>
      </c>
      <c r="O15" s="3" t="s">
        <v>116</v>
      </c>
      <c r="P15" s="3" t="s">
        <v>61</v>
      </c>
      <c r="Q15" s="3" t="s">
        <v>117</v>
      </c>
      <c r="R15" s="7" t="s">
        <v>49</v>
      </c>
      <c r="S15" s="7" t="s">
        <v>50</v>
      </c>
      <c r="T15" s="7" t="n">
        <f aca="false">RANK(K15,$K$9:$K$25,0)+COUNTIF($K$9:K15,K15)-1</f>
        <v>1</v>
      </c>
    </row>
    <row r="16" customFormat="false" ht="77.25" hidden="false" customHeight="true" outlineLevel="0" collapsed="false">
      <c r="A16" s="5" t="s">
        <v>118</v>
      </c>
      <c r="B16" s="3" t="s">
        <v>119</v>
      </c>
      <c r="C16" s="6" t="s">
        <v>120</v>
      </c>
      <c r="D16" s="3" t="s">
        <v>121</v>
      </c>
      <c r="E16" s="3" t="s">
        <v>122</v>
      </c>
      <c r="F16" s="7" t="s">
        <v>123</v>
      </c>
      <c r="G16" s="3" t="s">
        <v>124</v>
      </c>
      <c r="H16" s="3" t="s">
        <v>125</v>
      </c>
      <c r="I16" s="8" t="n">
        <v>3</v>
      </c>
      <c r="J16" s="8" t="n">
        <v>4</v>
      </c>
      <c r="K16" s="9" t="n">
        <f aca="false">I16*J16</f>
        <v>12</v>
      </c>
      <c r="L16" s="5" t="str">
        <f aca="false">IF(K16&gt;=Методика!$C$21,"Высокий",IF(K16&gt;=Методика!$C$22,"Средний","Низкий"))</f>
        <v>Высокий</v>
      </c>
      <c r="M16" s="3" t="s">
        <v>126</v>
      </c>
      <c r="N16" s="3" t="s">
        <v>127</v>
      </c>
      <c r="O16" s="3" t="s">
        <v>128</v>
      </c>
      <c r="P16" s="3" t="s">
        <v>61</v>
      </c>
      <c r="Q16" s="3" t="s">
        <v>129</v>
      </c>
      <c r="R16" s="7" t="s">
        <v>49</v>
      </c>
      <c r="S16" s="7" t="s">
        <v>50</v>
      </c>
      <c r="T16" s="7" t="n">
        <f aca="false">RANK(K16,$K$9:$K$25,0)+COUNTIF($K$9:K16,K16)-1</f>
        <v>4</v>
      </c>
    </row>
    <row r="17" customFormat="false" ht="77.25" hidden="false" customHeight="true" outlineLevel="0" collapsed="false">
      <c r="A17" s="5" t="s">
        <v>130</v>
      </c>
      <c r="B17" s="3" t="s">
        <v>52</v>
      </c>
      <c r="C17" s="6" t="s">
        <v>131</v>
      </c>
      <c r="D17" s="3" t="s">
        <v>132</v>
      </c>
      <c r="E17" s="3" t="s">
        <v>133</v>
      </c>
      <c r="F17" s="7" t="s">
        <v>134</v>
      </c>
      <c r="G17" s="3" t="s">
        <v>135</v>
      </c>
      <c r="H17" s="3" t="s">
        <v>136</v>
      </c>
      <c r="I17" s="8" t="n">
        <v>2</v>
      </c>
      <c r="J17" s="8" t="n">
        <v>2</v>
      </c>
      <c r="K17" s="9" t="n">
        <f aca="false">I17*J17</f>
        <v>4</v>
      </c>
      <c r="L17" s="5" t="str">
        <f aca="false">IF(K17&gt;=Методика!$C$21,"Высокий",IF(K17&gt;=Методика!$C$22,"Средний","Низкий"))</f>
        <v>Низкий</v>
      </c>
      <c r="M17" s="3" t="s">
        <v>126</v>
      </c>
      <c r="N17" s="3" t="s">
        <v>137</v>
      </c>
      <c r="O17" s="3" t="s">
        <v>138</v>
      </c>
      <c r="P17" s="3" t="s">
        <v>47</v>
      </c>
      <c r="Q17" s="3" t="s">
        <v>139</v>
      </c>
      <c r="R17" s="7" t="s">
        <v>49</v>
      </c>
      <c r="S17" s="7" t="s">
        <v>50</v>
      </c>
      <c r="T17" s="7" t="n">
        <f aca="false">RANK(K17,$K$9:$K$25,0)+COUNTIF($K$9:K17,K17)-1</f>
        <v>15</v>
      </c>
    </row>
    <row r="18" customFormat="false" ht="77.25" hidden="false" customHeight="true" outlineLevel="0" collapsed="false">
      <c r="A18" s="5" t="s">
        <v>140</v>
      </c>
      <c r="B18" s="3" t="s">
        <v>141</v>
      </c>
      <c r="C18" s="6" t="s">
        <v>142</v>
      </c>
      <c r="D18" s="3" t="s">
        <v>143</v>
      </c>
      <c r="E18" s="3" t="s">
        <v>144</v>
      </c>
      <c r="F18" s="7" t="s">
        <v>145</v>
      </c>
      <c r="G18" s="3" t="s">
        <v>146</v>
      </c>
      <c r="H18" s="3" t="s">
        <v>147</v>
      </c>
      <c r="I18" s="8" t="n">
        <v>3</v>
      </c>
      <c r="J18" s="8" t="n">
        <v>4</v>
      </c>
      <c r="K18" s="9" t="n">
        <f aca="false">I18*J18</f>
        <v>12</v>
      </c>
      <c r="L18" s="5" t="str">
        <f aca="false">IF(K18&gt;=Методика!$C$21,"Высокий",IF(K18&gt;=Методика!$C$22,"Средний","Низкий"))</f>
        <v>Высокий</v>
      </c>
      <c r="M18" s="3" t="s">
        <v>148</v>
      </c>
      <c r="N18" s="3" t="s">
        <v>149</v>
      </c>
      <c r="O18" s="3" t="s">
        <v>150</v>
      </c>
      <c r="P18" s="3" t="s">
        <v>151</v>
      </c>
      <c r="Q18" s="3" t="s">
        <v>152</v>
      </c>
      <c r="R18" s="7" t="s">
        <v>49</v>
      </c>
      <c r="S18" s="7" t="s">
        <v>50</v>
      </c>
      <c r="T18" s="7" t="n">
        <f aca="false">RANK(K18,$K$9:$K$25,0)+COUNTIF($K$9:K18,K18)-1</f>
        <v>5</v>
      </c>
    </row>
    <row r="19" customFormat="false" ht="108" hidden="false" customHeight="true" outlineLevel="0" collapsed="false">
      <c r="A19" s="5" t="s">
        <v>153</v>
      </c>
      <c r="B19" s="3" t="s">
        <v>141</v>
      </c>
      <c r="C19" s="6" t="s">
        <v>154</v>
      </c>
      <c r="D19" s="3" t="s">
        <v>155</v>
      </c>
      <c r="E19" s="3" t="s">
        <v>156</v>
      </c>
      <c r="F19" s="7" t="s">
        <v>157</v>
      </c>
      <c r="G19" s="3" t="s">
        <v>158</v>
      </c>
      <c r="H19" s="3" t="s">
        <v>159</v>
      </c>
      <c r="I19" s="8" t="n">
        <v>3</v>
      </c>
      <c r="J19" s="8" t="n">
        <v>5</v>
      </c>
      <c r="K19" s="9" t="n">
        <f aca="false">I19*J19</f>
        <v>15</v>
      </c>
      <c r="L19" s="5" t="str">
        <f aca="false">IF(K19&gt;=Методика!$C$21,"Высокий",IF(K19&gt;=Методика!$C$22,"Средний","Низкий"))</f>
        <v>Высокий</v>
      </c>
      <c r="M19" s="3" t="s">
        <v>44</v>
      </c>
      <c r="N19" s="3" t="s">
        <v>160</v>
      </c>
      <c r="O19" s="3" t="s">
        <v>161</v>
      </c>
      <c r="P19" s="3" t="s">
        <v>61</v>
      </c>
      <c r="Q19" s="3" t="s">
        <v>162</v>
      </c>
      <c r="R19" s="7" t="s">
        <v>163</v>
      </c>
      <c r="S19" s="7" t="s">
        <v>8</v>
      </c>
      <c r="T19" s="7" t="n">
        <f aca="false">RANK(K19,$K$9:$K$25,0)+COUNTIF($K$9:K19,K19)-1</f>
        <v>2</v>
      </c>
    </row>
    <row r="20" customFormat="false" ht="77.25" hidden="false" customHeight="true" outlineLevel="0" collapsed="false">
      <c r="A20" s="5" t="s">
        <v>164</v>
      </c>
      <c r="B20" s="3" t="s">
        <v>108</v>
      </c>
      <c r="C20" s="6" t="s">
        <v>165</v>
      </c>
      <c r="D20" s="3" t="s">
        <v>166</v>
      </c>
      <c r="E20" s="3" t="s">
        <v>167</v>
      </c>
      <c r="F20" s="7" t="s">
        <v>112</v>
      </c>
      <c r="G20" s="3" t="s">
        <v>168</v>
      </c>
      <c r="H20" s="3" t="s">
        <v>169</v>
      </c>
      <c r="I20" s="8" t="n">
        <v>3</v>
      </c>
      <c r="J20" s="8" t="n">
        <v>4</v>
      </c>
      <c r="K20" s="9" t="n">
        <f aca="false">I20*J20</f>
        <v>12</v>
      </c>
      <c r="L20" s="5" t="str">
        <f aca="false">IF(K20&gt;=Методика!$C$21,"Высокий",IF(K20&gt;=Методика!$C$22,"Средний","Низкий"))</f>
        <v>Высокий</v>
      </c>
      <c r="M20" s="3" t="s">
        <v>44</v>
      </c>
      <c r="N20" s="3" t="s">
        <v>170</v>
      </c>
      <c r="O20" s="3" t="s">
        <v>171</v>
      </c>
      <c r="P20" s="3" t="s">
        <v>172</v>
      </c>
      <c r="Q20" s="3" t="s">
        <v>173</v>
      </c>
      <c r="R20" s="7" t="s">
        <v>49</v>
      </c>
      <c r="S20" s="7" t="s">
        <v>8</v>
      </c>
      <c r="T20" s="7" t="n">
        <f aca="false">RANK(K20,$K$9:$K$25,0)+COUNTIF($K$9:K20,K20)-1</f>
        <v>6</v>
      </c>
    </row>
    <row r="21" customFormat="false" ht="93" hidden="false" customHeight="true" outlineLevel="0" collapsed="false">
      <c r="A21" s="5" t="s">
        <v>174</v>
      </c>
      <c r="B21" s="3" t="s">
        <v>175</v>
      </c>
      <c r="C21" s="6" t="s">
        <v>176</v>
      </c>
      <c r="D21" s="3" t="s">
        <v>177</v>
      </c>
      <c r="E21" s="3" t="s">
        <v>178</v>
      </c>
      <c r="F21" s="7" t="s">
        <v>112</v>
      </c>
      <c r="G21" s="3" t="s">
        <v>179</v>
      </c>
      <c r="H21" s="3" t="s">
        <v>180</v>
      </c>
      <c r="I21" s="8" t="n">
        <v>3</v>
      </c>
      <c r="J21" s="8" t="n">
        <v>3</v>
      </c>
      <c r="K21" s="9" t="n">
        <f aca="false">I21*J21</f>
        <v>9</v>
      </c>
      <c r="L21" s="5" t="str">
        <f aca="false">IF(K21&gt;=Методика!$C$21,"Высокий",IF(K21&gt;=Методика!$C$22,"Средний","Низкий"))</f>
        <v>Средний</v>
      </c>
      <c r="M21" s="3" t="s">
        <v>44</v>
      </c>
      <c r="N21" s="3" t="s">
        <v>181</v>
      </c>
      <c r="O21" s="3" t="s">
        <v>182</v>
      </c>
      <c r="P21" s="3" t="s">
        <v>172</v>
      </c>
      <c r="Q21" s="3" t="s">
        <v>183</v>
      </c>
      <c r="R21" s="7" t="s">
        <v>49</v>
      </c>
      <c r="S21" s="7" t="s">
        <v>8</v>
      </c>
      <c r="T21" s="7" t="n">
        <f aca="false">RANK(K21,$K$9:$K$25,0)+COUNTIF($K$9:K21,K21)-1</f>
        <v>10</v>
      </c>
    </row>
    <row r="22" customFormat="false" ht="75" hidden="false" customHeight="true" outlineLevel="0" collapsed="false">
      <c r="A22" s="5" t="s">
        <v>184</v>
      </c>
      <c r="B22" s="3" t="s">
        <v>175</v>
      </c>
      <c r="C22" s="6" t="s">
        <v>185</v>
      </c>
      <c r="D22" s="3" t="s">
        <v>186</v>
      </c>
      <c r="E22" s="3" t="s">
        <v>187</v>
      </c>
      <c r="F22" s="7" t="s">
        <v>112</v>
      </c>
      <c r="G22" s="3" t="s">
        <v>188</v>
      </c>
      <c r="H22" s="3" t="s">
        <v>189</v>
      </c>
      <c r="I22" s="8" t="n">
        <v>1</v>
      </c>
      <c r="J22" s="8" t="n">
        <v>4</v>
      </c>
      <c r="K22" s="9" t="n">
        <f aca="false">I22*J22</f>
        <v>4</v>
      </c>
      <c r="L22" s="5" t="str">
        <f aca="false">IF(K22&gt;=Методика!$C$21,"Высокий",IF(K22&gt;=Методика!$C$22,"Средний","Низкий"))</f>
        <v>Низкий</v>
      </c>
      <c r="M22" s="3" t="s">
        <v>44</v>
      </c>
      <c r="N22" s="3" t="s">
        <v>190</v>
      </c>
      <c r="O22" s="3" t="s">
        <v>191</v>
      </c>
      <c r="P22" s="3" t="s">
        <v>192</v>
      </c>
      <c r="Q22" s="3" t="s">
        <v>193</v>
      </c>
      <c r="R22" s="7" t="s">
        <v>49</v>
      </c>
      <c r="S22" s="7" t="s">
        <v>8</v>
      </c>
      <c r="T22" s="7" t="n">
        <f aca="false">RANK(K22,$K$9:$K$25,0)+COUNTIF($K$9:K22,K22)-1</f>
        <v>16</v>
      </c>
    </row>
    <row r="23" customFormat="false" ht="75" hidden="false" customHeight="true" outlineLevel="0" collapsed="false">
      <c r="A23" s="5" t="s">
        <v>194</v>
      </c>
      <c r="B23" s="3" t="s">
        <v>37</v>
      </c>
      <c r="C23" s="6" t="s">
        <v>195</v>
      </c>
      <c r="D23" s="3" t="s">
        <v>196</v>
      </c>
      <c r="E23" s="3" t="s">
        <v>197</v>
      </c>
      <c r="F23" s="7" t="s">
        <v>90</v>
      </c>
      <c r="G23" s="3" t="s">
        <v>198</v>
      </c>
      <c r="H23" s="3" t="s">
        <v>199</v>
      </c>
      <c r="I23" s="8" t="n">
        <v>2</v>
      </c>
      <c r="J23" s="8" t="n">
        <v>3</v>
      </c>
      <c r="K23" s="9" t="n">
        <f aca="false">I23*J23</f>
        <v>6</v>
      </c>
      <c r="L23" s="5" t="str">
        <f aca="false">IF(K23&gt;=Методика!$C$21,"Высокий",IF(K23&gt;=Методика!$C$22,"Средний","Низкий"))</f>
        <v>Средний</v>
      </c>
      <c r="M23" s="3" t="s">
        <v>103</v>
      </c>
      <c r="N23" s="3" t="s">
        <v>200</v>
      </c>
      <c r="O23" s="3" t="s">
        <v>201</v>
      </c>
      <c r="P23" s="3" t="s">
        <v>202</v>
      </c>
      <c r="Q23" s="3" t="s">
        <v>203</v>
      </c>
      <c r="R23" s="7" t="s">
        <v>49</v>
      </c>
      <c r="S23" s="7" t="s">
        <v>8</v>
      </c>
      <c r="T23" s="7" t="n">
        <f aca="false">RANK(K23,$K$9:$K$25,0)+COUNTIF($K$9:K23,K23)-1</f>
        <v>12</v>
      </c>
    </row>
    <row r="24" customFormat="false" ht="93" hidden="false" customHeight="true" outlineLevel="0" collapsed="false">
      <c r="A24" s="5" t="s">
        <v>204</v>
      </c>
      <c r="B24" s="3" t="s">
        <v>74</v>
      </c>
      <c r="C24" s="6" t="s">
        <v>205</v>
      </c>
      <c r="D24" s="3" t="s">
        <v>206</v>
      </c>
      <c r="E24" s="3" t="s">
        <v>207</v>
      </c>
      <c r="F24" s="7" t="s">
        <v>208</v>
      </c>
      <c r="G24" s="3" t="s">
        <v>209</v>
      </c>
      <c r="H24" s="3" t="s">
        <v>210</v>
      </c>
      <c r="I24" s="8" t="n">
        <v>2</v>
      </c>
      <c r="J24" s="8" t="n">
        <v>3</v>
      </c>
      <c r="K24" s="9" t="n">
        <f aca="false">I24*J24</f>
        <v>6</v>
      </c>
      <c r="L24" s="5" t="str">
        <f aca="false">IF(K24&gt;=Методика!$C$21,"Высокий",IF(K24&gt;=Методика!$C$22,"Средний","Низкий"))</f>
        <v>Средний</v>
      </c>
      <c r="M24" s="3" t="s">
        <v>103</v>
      </c>
      <c r="N24" s="3" t="s">
        <v>211</v>
      </c>
      <c r="O24" s="3" t="s">
        <v>212</v>
      </c>
      <c r="P24" s="3" t="s">
        <v>47</v>
      </c>
      <c r="Q24" s="3" t="s">
        <v>213</v>
      </c>
      <c r="R24" s="7" t="s">
        <v>49</v>
      </c>
      <c r="S24" s="7" t="s">
        <v>8</v>
      </c>
      <c r="T24" s="7" t="n">
        <f aca="false">RANK(K24,$K$9:$K$25,0)+COUNTIF($K$9:K24,K24)-1</f>
        <v>13</v>
      </c>
    </row>
    <row r="25" customFormat="false" ht="75" hidden="false" customHeight="true" outlineLevel="0" collapsed="false">
      <c r="A25" s="5" t="s">
        <v>214</v>
      </c>
      <c r="B25" s="3" t="s">
        <v>215</v>
      </c>
      <c r="C25" s="6" t="s">
        <v>216</v>
      </c>
      <c r="D25" s="3" t="s">
        <v>217</v>
      </c>
      <c r="E25" s="3" t="s">
        <v>218</v>
      </c>
      <c r="F25" s="7" t="s">
        <v>219</v>
      </c>
      <c r="G25" s="3" t="s">
        <v>220</v>
      </c>
      <c r="H25" s="3" t="s">
        <v>221</v>
      </c>
      <c r="I25" s="8" t="n">
        <v>2</v>
      </c>
      <c r="J25" s="8" t="n">
        <v>2</v>
      </c>
      <c r="K25" s="9" t="n">
        <f aca="false">I25*J25</f>
        <v>4</v>
      </c>
      <c r="L25" s="5" t="str">
        <f aca="false">IF(K25&gt;=Методика!$C$21,"Высокий",IF(K25&gt;=Методика!$C$22,"Средний","Низкий"))</f>
        <v>Низкий</v>
      </c>
      <c r="M25" s="3" t="s">
        <v>126</v>
      </c>
      <c r="N25" s="3" t="s">
        <v>222</v>
      </c>
      <c r="O25" s="3" t="s">
        <v>223</v>
      </c>
      <c r="P25" s="3" t="s">
        <v>224</v>
      </c>
      <c r="Q25" s="3" t="s">
        <v>225</v>
      </c>
      <c r="R25" s="7" t="s">
        <v>49</v>
      </c>
      <c r="S25" s="7" t="s">
        <v>8</v>
      </c>
      <c r="T25" s="7" t="n">
        <f aca="false">RANK(K25,$K$9:$K$25,0)+COUNTIF($K$9:K25,K25)-1</f>
        <v>17</v>
      </c>
    </row>
    <row r="27" customFormat="false" ht="15" hidden="false" customHeight="true" outlineLevel="0" collapsed="false">
      <c r="A27" s="2" t="s">
        <v>226</v>
      </c>
      <c r="B27" s="2"/>
      <c r="C27" s="2"/>
      <c r="D27" s="10" t="n">
        <f aca="false">COUNTA(A9:A25)</f>
        <v>17</v>
      </c>
    </row>
    <row r="28" customFormat="false" ht="15" hidden="false" customHeight="true" outlineLevel="0" collapsed="false">
      <c r="A28" s="11" t="s">
        <v>227</v>
      </c>
      <c r="B28" s="11"/>
      <c r="C28" s="11"/>
      <c r="D28" s="12" t="n">
        <f aca="false">COUNTIF(L9:L25,"Высокий")</f>
        <v>6</v>
      </c>
    </row>
    <row r="29" customFormat="false" ht="15" hidden="false" customHeight="true" outlineLevel="0" collapsed="false">
      <c r="A29" s="13" t="s">
        <v>228</v>
      </c>
      <c r="B29" s="13"/>
      <c r="C29" s="13"/>
      <c r="D29" s="12" t="n">
        <f aca="false">COUNTIF(L9:L25,"Средний")</f>
        <v>7</v>
      </c>
    </row>
    <row r="30" customFormat="false" ht="15" hidden="false" customHeight="true" outlineLevel="0" collapsed="false">
      <c r="A30" s="14" t="s">
        <v>229</v>
      </c>
      <c r="B30" s="14"/>
      <c r="C30" s="14"/>
      <c r="D30" s="12" t="n">
        <f aca="false">COUNTIF(L9:L25,"Низкий")</f>
        <v>4</v>
      </c>
    </row>
    <row r="32" customFormat="false" ht="48" hidden="false" customHeight="true" outlineLevel="0" collapsed="false">
      <c r="A32" s="15" t="s">
        <v>230</v>
      </c>
      <c r="B32" s="15"/>
      <c r="C32" s="15"/>
      <c r="D32" s="15"/>
      <c r="E32" s="15"/>
      <c r="F32" s="15"/>
      <c r="G32" s="15"/>
      <c r="H32" s="15"/>
    </row>
  </sheetData>
  <autoFilter ref="A8:T25"/>
  <mergeCells count="13">
    <mergeCell ref="A3:C3"/>
    <mergeCell ref="E3:G3"/>
    <mergeCell ref="A4:C4"/>
    <mergeCell ref="E4:G4"/>
    <mergeCell ref="A5:C5"/>
    <mergeCell ref="E5:G5"/>
    <mergeCell ref="A6:C6"/>
    <mergeCell ref="E6:G6"/>
    <mergeCell ref="A27:C27"/>
    <mergeCell ref="A28:C28"/>
    <mergeCell ref="A29:C29"/>
    <mergeCell ref="A30:C30"/>
    <mergeCell ref="A32:H32"/>
  </mergeCells>
  <conditionalFormatting sqref="L9:L25">
    <cfRule type="expression" priority="2" aboveAverage="0" equalAverage="0" bottom="0" percent="0" rank="0" text="" dxfId="6">
      <formula>$L9="Высокий"</formula>
    </cfRule>
    <cfRule type="expression" priority="3" aboveAverage="0" equalAverage="0" bottom="0" percent="0" rank="0" text="" dxfId="7">
      <formula>$L9="Средний"</formula>
    </cfRule>
    <cfRule type="expression" priority="4" aboveAverage="0" equalAverage="0" bottom="0" percent="0" rank="0" text="" dxfId="8">
      <formula>$L9="Низкий"</formula>
    </cfRule>
  </conditionalFormatting>
  <conditionalFormatting sqref="K9:K25">
    <cfRule type="expression" priority="5" aboveAverage="0" equalAverage="0" bottom="0" percent="0" rank="0" text="" dxfId="6">
      <formula>$L9="Высокий"</formula>
    </cfRule>
    <cfRule type="expression" priority="6" aboveAverage="0" equalAverage="0" bottom="0" percent="0" rank="0" text="" dxfId="7">
      <formula>$L9="Средний"</formula>
    </cfRule>
    <cfRule type="expression" priority="7" aboveAverage="0" equalAverage="0" bottom="0" percent="0" rank="0" text="" dxfId="8">
      <formula>$L9="Низкий"</formula>
    </cfRule>
  </conditionalFormatting>
  <dataValidations count="1">
    <dataValidation allowBlank="false" error="Введите целое число от 1 до 5 (шкалы — лист «Методика»)." errorStyle="stop" errorTitle="Балл 1–5" operator="between" showDropDown="false" showErrorMessage="true" showInputMessage="false" sqref="I9:J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7" min="3" style="0" width="16"/>
    <col collapsed="false" customWidth="true" hidden="false" outlineLevel="0" max="8" min="8" style="0" width="4"/>
    <col collapsed="false" customWidth="true" hidden="false" outlineLevel="0" max="9" min="9" style="0" width="44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231</v>
      </c>
    </row>
    <row r="2" customFormat="false" ht="31.5" hidden="false" customHeight="true" outlineLevel="0" collapsed="false">
      <c r="A2" s="15" t="s">
        <v>232</v>
      </c>
      <c r="B2" s="15"/>
      <c r="C2" s="15"/>
      <c r="D2" s="15"/>
      <c r="E2" s="15"/>
      <c r="F2" s="15"/>
      <c r="G2" s="15"/>
    </row>
    <row r="4" customFormat="false" ht="30" hidden="false" customHeight="true" outlineLevel="0" collapsed="false">
      <c r="A4" s="4" t="s">
        <v>233</v>
      </c>
      <c r="B4" s="4"/>
      <c r="C4" s="4" t="s">
        <v>234</v>
      </c>
      <c r="D4" s="4" t="s">
        <v>235</v>
      </c>
      <c r="E4" s="4" t="s">
        <v>236</v>
      </c>
      <c r="F4" s="4" t="s">
        <v>237</v>
      </c>
      <c r="G4" s="4" t="s">
        <v>238</v>
      </c>
      <c r="I4" s="16" t="s">
        <v>239</v>
      </c>
    </row>
    <row r="5" customFormat="false" ht="30" hidden="false" customHeight="true" outlineLevel="0" collapsed="false">
      <c r="A5" s="4" t="n">
        <v>5</v>
      </c>
      <c r="B5" s="4" t="s">
        <v>240</v>
      </c>
      <c r="C5" s="17" t="str">
        <f aca="false">TRIM(IF(AND('Реестр рисков'!$I$9=5,'Реестр рисков'!$J$9=1),'Реестр рисков'!$A$9&amp;" ","")&amp;IF(AND('Реестр рисков'!$I$10=5,'Реестр рисков'!$J$10=1),'Реестр рисков'!$A$10&amp;" ","")&amp;IF(AND('Реестр рисков'!$I$11=5,'Реестр рисков'!$J$11=1),'Реестр рисков'!$A$11&amp;" ","")&amp;IF(AND('Реестр рисков'!$I$12=5,'Реестр рисков'!$J$12=1),'Реестр рисков'!$A$12&amp;" ","")&amp;IF(AND('Реестр рисков'!$I$13=5,'Реестр рисков'!$J$13=1),'Реестр рисков'!$A$13&amp;" ","")&amp;IF(AND('Реестр рисков'!$I$14=5,'Реестр рисков'!$J$14=1),'Реестр рисков'!$A$14&amp;" ","")&amp;IF(AND('Реестр рисков'!$I$15=5,'Реестр рисков'!$J$15=1),'Реестр рисков'!$A$15&amp;" ","")&amp;IF(AND('Реестр рисков'!$I$16=5,'Реестр рисков'!$J$16=1),'Реестр рисков'!$A$16&amp;" ","")&amp;IF(AND('Реестр рисков'!$I$17=5,'Реестр рисков'!$J$17=1),'Реестр рисков'!$A$17&amp;" ","")&amp;IF(AND('Реестр рисков'!$I$18=5,'Реестр рисков'!$J$18=1),'Реестр рисков'!$A$18&amp;" ","")&amp;IF(AND('Реестр рисков'!$I$19=5,'Реестр рисков'!$J$19=1),'Реестр рисков'!$A$19&amp;" ","")&amp;IF(AND('Реестр рисков'!$I$20=5,'Реестр рисков'!$J$20=1),'Реестр рисков'!$A$20&amp;" ","")&amp;IF(AND('Реестр рисков'!$I$21=5,'Реестр рисков'!$J$21=1),'Реестр рисков'!$A$21&amp;" ","")&amp;IF(AND('Реестр рисков'!$I$22=5,'Реестр рисков'!$J$22=1),'Реестр рисков'!$A$22&amp;" ","")&amp;IF(AND('Реестр рисков'!$I$23=5,'Реестр рисков'!$J$23=1),'Реестр рисков'!$A$23&amp;" ","")&amp;IF(AND('Реестр рисков'!$I$24=5,'Реестр рисков'!$J$24=1),'Реестр рисков'!$A$24&amp;" ","")&amp;IF(AND('Реестр рисков'!$I$25=5,'Реестр рисков'!$J$25=1),'Реестр рисков'!$A$25&amp;" ",""))</f>
        <v/>
      </c>
      <c r="D5" s="18" t="str">
        <f aca="false">TRIM(IF(AND('Реестр рисков'!$I$9=5,'Реестр рисков'!$J$9=2),'Реестр рисков'!$A$9&amp;" ","")&amp;IF(AND('Реестр рисков'!$I$10=5,'Реестр рисков'!$J$10=2),'Реестр рисков'!$A$10&amp;" ","")&amp;IF(AND('Реестр рисков'!$I$11=5,'Реестр рисков'!$J$11=2),'Реестр рисков'!$A$11&amp;" ","")&amp;IF(AND('Реестр рисков'!$I$12=5,'Реестр рисков'!$J$12=2),'Реестр рисков'!$A$12&amp;" ","")&amp;IF(AND('Реестр рисков'!$I$13=5,'Реестр рисков'!$J$13=2),'Реестр рисков'!$A$13&amp;" ","")&amp;IF(AND('Реестр рисков'!$I$14=5,'Реестр рисков'!$J$14=2),'Реестр рисков'!$A$14&amp;" ","")&amp;IF(AND('Реестр рисков'!$I$15=5,'Реестр рисков'!$J$15=2),'Реестр рисков'!$A$15&amp;" ","")&amp;IF(AND('Реестр рисков'!$I$16=5,'Реестр рисков'!$J$16=2),'Реестр рисков'!$A$16&amp;" ","")&amp;IF(AND('Реестр рисков'!$I$17=5,'Реестр рисков'!$J$17=2),'Реестр рисков'!$A$17&amp;" ","")&amp;IF(AND('Реестр рисков'!$I$18=5,'Реестр рисков'!$J$18=2),'Реестр рисков'!$A$18&amp;" ","")&amp;IF(AND('Реестр рисков'!$I$19=5,'Реестр рисков'!$J$19=2),'Реестр рисков'!$A$19&amp;" ","")&amp;IF(AND('Реестр рисков'!$I$20=5,'Реестр рисков'!$J$20=2),'Реестр рисков'!$A$20&amp;" ","")&amp;IF(AND('Реестр рисков'!$I$21=5,'Реестр рисков'!$J$21=2),'Реестр рисков'!$A$21&amp;" ","")&amp;IF(AND('Реестр рисков'!$I$22=5,'Реестр рисков'!$J$22=2),'Реестр рисков'!$A$22&amp;" ","")&amp;IF(AND('Реестр рисков'!$I$23=5,'Реестр рисков'!$J$23=2),'Реестр рисков'!$A$23&amp;" ","")&amp;IF(AND('Реестр рисков'!$I$24=5,'Реестр рисков'!$J$24=2),'Реестр рисков'!$A$24&amp;" ","")&amp;IF(AND('Реестр рисков'!$I$25=5,'Реестр рисков'!$J$25=2),'Реестр рисков'!$A$25&amp;" ",""))</f>
        <v/>
      </c>
      <c r="E5" s="19" t="str">
        <f aca="false">TRIM(IF(AND('Реестр рисков'!$I$9=5,'Реестр рисков'!$J$9=3),'Реестр рисков'!$A$9&amp;" ","")&amp;IF(AND('Реестр рисков'!$I$10=5,'Реестр рисков'!$J$10=3),'Реестр рисков'!$A$10&amp;" ","")&amp;IF(AND('Реестр рисков'!$I$11=5,'Реестр рисков'!$J$11=3),'Реестр рисков'!$A$11&amp;" ","")&amp;IF(AND('Реестр рисков'!$I$12=5,'Реестр рисков'!$J$12=3),'Реестр рисков'!$A$12&amp;" ","")&amp;IF(AND('Реестр рисков'!$I$13=5,'Реестр рисков'!$J$13=3),'Реестр рисков'!$A$13&amp;" ","")&amp;IF(AND('Реестр рисков'!$I$14=5,'Реестр рисков'!$J$14=3),'Реестр рисков'!$A$14&amp;" ","")&amp;IF(AND('Реестр рисков'!$I$15=5,'Реестр рисков'!$J$15=3),'Реестр рисков'!$A$15&amp;" ","")&amp;IF(AND('Реестр рисков'!$I$16=5,'Реестр рисков'!$J$16=3),'Реестр рисков'!$A$16&amp;" ","")&amp;IF(AND('Реестр рисков'!$I$17=5,'Реестр рисков'!$J$17=3),'Реестр рисков'!$A$17&amp;" ","")&amp;IF(AND('Реестр рисков'!$I$18=5,'Реестр рисков'!$J$18=3),'Реестр рисков'!$A$18&amp;" ","")&amp;IF(AND('Реестр рисков'!$I$19=5,'Реестр рисков'!$J$19=3),'Реестр рисков'!$A$19&amp;" ","")&amp;IF(AND('Реестр рисков'!$I$20=5,'Реестр рисков'!$J$20=3),'Реестр рисков'!$A$20&amp;" ","")&amp;IF(AND('Реестр рисков'!$I$21=5,'Реестр рисков'!$J$21=3),'Реестр рисков'!$A$21&amp;" ","")&amp;IF(AND('Реестр рисков'!$I$22=5,'Реестр рисков'!$J$22=3),'Реестр рисков'!$A$22&amp;" ","")&amp;IF(AND('Реестр рисков'!$I$23=5,'Реестр рисков'!$J$23=3),'Реестр рисков'!$A$23&amp;" ","")&amp;IF(AND('Реестр рисков'!$I$24=5,'Реестр рисков'!$J$24=3),'Реестр рисков'!$A$24&amp;" ","")&amp;IF(AND('Реестр рисков'!$I$25=5,'Реестр рисков'!$J$25=3),'Реестр рисков'!$A$25&amp;" ",""))</f>
        <v/>
      </c>
      <c r="F5" s="19" t="str">
        <f aca="false">TRIM(IF(AND('Реестр рисков'!$I$9=5,'Реестр рисков'!$J$9=4),'Реестр рисков'!$A$9&amp;" ","")&amp;IF(AND('Реестр рисков'!$I$10=5,'Реестр рисков'!$J$10=4),'Реестр рисков'!$A$10&amp;" ","")&amp;IF(AND('Реестр рисков'!$I$11=5,'Реестр рисков'!$J$11=4),'Реестр рисков'!$A$11&amp;" ","")&amp;IF(AND('Реестр рисков'!$I$12=5,'Реестр рисков'!$J$12=4),'Реестр рисков'!$A$12&amp;" ","")&amp;IF(AND('Реестр рисков'!$I$13=5,'Реестр рисков'!$J$13=4),'Реестр рисков'!$A$13&amp;" ","")&amp;IF(AND('Реестр рисков'!$I$14=5,'Реестр рисков'!$J$14=4),'Реестр рисков'!$A$14&amp;" ","")&amp;IF(AND('Реестр рисков'!$I$15=5,'Реестр рисков'!$J$15=4),'Реестр рисков'!$A$15&amp;" ","")&amp;IF(AND('Реестр рисков'!$I$16=5,'Реестр рисков'!$J$16=4),'Реестр рисков'!$A$16&amp;" ","")&amp;IF(AND('Реестр рисков'!$I$17=5,'Реестр рисков'!$J$17=4),'Реестр рисков'!$A$17&amp;" ","")&amp;IF(AND('Реестр рисков'!$I$18=5,'Реестр рисков'!$J$18=4),'Реестр рисков'!$A$18&amp;" ","")&amp;IF(AND('Реестр рисков'!$I$19=5,'Реестр рисков'!$J$19=4),'Реестр рисков'!$A$19&amp;" ","")&amp;IF(AND('Реестр рисков'!$I$20=5,'Реестр рисков'!$J$20=4),'Реестр рисков'!$A$20&amp;" ","")&amp;IF(AND('Реестр рисков'!$I$21=5,'Реестр рисков'!$J$21=4),'Реестр рисков'!$A$21&amp;" ","")&amp;IF(AND('Реестр рисков'!$I$22=5,'Реестр рисков'!$J$22=4),'Реестр рисков'!$A$22&amp;" ","")&amp;IF(AND('Реестр рисков'!$I$23=5,'Реестр рисков'!$J$23=4),'Реестр рисков'!$A$23&amp;" ","")&amp;IF(AND('Реестр рисков'!$I$24=5,'Реестр рисков'!$J$24=4),'Реестр рисков'!$A$24&amp;" ","")&amp;IF(AND('Реестр рисков'!$I$25=5,'Реестр рисков'!$J$25=4),'Реестр рисков'!$A$25&amp;" ",""))</f>
        <v/>
      </c>
      <c r="G5" s="19" t="str">
        <f aca="false">TRIM(IF(AND('Реестр рисков'!$I$9=5,'Реестр рисков'!$J$9=5),'Реестр рисков'!$A$9&amp;" ","")&amp;IF(AND('Реестр рисков'!$I$10=5,'Реестр рисков'!$J$10=5),'Реестр рисков'!$A$10&amp;" ","")&amp;IF(AND('Реестр рисков'!$I$11=5,'Реестр рисков'!$J$11=5),'Реестр рисков'!$A$11&amp;" ","")&amp;IF(AND('Реестр рисков'!$I$12=5,'Реестр рисков'!$J$12=5),'Реестр рисков'!$A$12&amp;" ","")&amp;IF(AND('Реестр рисков'!$I$13=5,'Реестр рисков'!$J$13=5),'Реестр рисков'!$A$13&amp;" ","")&amp;IF(AND('Реестр рисков'!$I$14=5,'Реестр рисков'!$J$14=5),'Реестр рисков'!$A$14&amp;" ","")&amp;IF(AND('Реестр рисков'!$I$15=5,'Реестр рисков'!$J$15=5),'Реестр рисков'!$A$15&amp;" ","")&amp;IF(AND('Реестр рисков'!$I$16=5,'Реестр рисков'!$J$16=5),'Реестр рисков'!$A$16&amp;" ","")&amp;IF(AND('Реестр рисков'!$I$17=5,'Реестр рисков'!$J$17=5),'Реестр рисков'!$A$17&amp;" ","")&amp;IF(AND('Реестр рисков'!$I$18=5,'Реестр рисков'!$J$18=5),'Реестр рисков'!$A$18&amp;" ","")&amp;IF(AND('Реестр рисков'!$I$19=5,'Реестр рисков'!$J$19=5),'Реестр рисков'!$A$19&amp;" ","")&amp;IF(AND('Реестр рисков'!$I$20=5,'Реестр рисков'!$J$20=5),'Реестр рисков'!$A$20&amp;" ","")&amp;IF(AND('Реестр рисков'!$I$21=5,'Реестр рисков'!$J$21=5),'Реестр рисков'!$A$21&amp;" ","")&amp;IF(AND('Реестр рисков'!$I$22=5,'Реестр рисков'!$J$22=5),'Реестр рисков'!$A$22&amp;" ","")&amp;IF(AND('Реестр рисков'!$I$23=5,'Реестр рисков'!$J$23=5),'Реестр рисков'!$A$23&amp;" ","")&amp;IF(AND('Реестр рисков'!$I$24=5,'Реестр рисков'!$J$24=5),'Реестр рисков'!$A$24&amp;" ","")&amp;IF(AND('Реестр рисков'!$I$25=5,'Реестр рисков'!$J$25=5),'Реестр рисков'!$A$25&amp;" ",""))</f>
        <v/>
      </c>
      <c r="I5" s="4" t="s">
        <v>18</v>
      </c>
      <c r="J5" s="4" t="s">
        <v>241</v>
      </c>
      <c r="K5" s="4" t="s">
        <v>27</v>
      </c>
      <c r="L5" s="4" t="s">
        <v>31</v>
      </c>
    </row>
    <row r="6" customFormat="false" ht="39.75" hidden="false" customHeight="true" outlineLevel="0" collapsed="false">
      <c r="A6" s="4" t="n">
        <v>4</v>
      </c>
      <c r="B6" s="4" t="s">
        <v>242</v>
      </c>
      <c r="C6" s="17" t="str">
        <f aca="false">TRIM(IF(AND('Реестр рисков'!$I$9=4,'Реестр рисков'!$J$9=1),'Реестр рисков'!$A$9&amp;" ","")&amp;IF(AND('Реестр рисков'!$I$10=4,'Реестр рисков'!$J$10=1),'Реестр рисков'!$A$10&amp;" ","")&amp;IF(AND('Реестр рисков'!$I$11=4,'Реестр рисков'!$J$11=1),'Реестр рисков'!$A$11&amp;" ","")&amp;IF(AND('Реестр рисков'!$I$12=4,'Реестр рисков'!$J$12=1),'Реестр рисков'!$A$12&amp;" ","")&amp;IF(AND('Реестр рисков'!$I$13=4,'Реестр рисков'!$J$13=1),'Реестр рисков'!$A$13&amp;" ","")&amp;IF(AND('Реестр рисков'!$I$14=4,'Реестр рисков'!$J$14=1),'Реестр рисков'!$A$14&amp;" ","")&amp;IF(AND('Реестр рисков'!$I$15=4,'Реестр рисков'!$J$15=1),'Реестр рисков'!$A$15&amp;" ","")&amp;IF(AND('Реестр рисков'!$I$16=4,'Реестр рисков'!$J$16=1),'Реестр рисков'!$A$16&amp;" ","")&amp;IF(AND('Реестр рисков'!$I$17=4,'Реестр рисков'!$J$17=1),'Реестр рисков'!$A$17&amp;" ","")&amp;IF(AND('Реестр рисков'!$I$18=4,'Реестр рисков'!$J$18=1),'Реестр рисков'!$A$18&amp;" ","")&amp;IF(AND('Реестр рисков'!$I$19=4,'Реестр рисков'!$J$19=1),'Реестр рисков'!$A$19&amp;" ","")&amp;IF(AND('Реестр рисков'!$I$20=4,'Реестр рисков'!$J$20=1),'Реестр рисков'!$A$20&amp;" ","")&amp;IF(AND('Реестр рисков'!$I$21=4,'Реестр рисков'!$J$21=1),'Реестр рисков'!$A$21&amp;" ","")&amp;IF(AND('Реестр рисков'!$I$22=4,'Реестр рисков'!$J$22=1),'Реестр рисков'!$A$22&amp;" ","")&amp;IF(AND('Реестр рисков'!$I$23=4,'Реестр рисков'!$J$23=1),'Реестр рисков'!$A$23&amp;" ","")&amp;IF(AND('Реестр рисков'!$I$24=4,'Реестр рисков'!$J$24=1),'Реестр рисков'!$A$24&amp;" ","")&amp;IF(AND('Реестр рисков'!$I$25=4,'Реестр рисков'!$J$25=1),'Реестр рисков'!$A$25&amp;" ",""))</f>
        <v/>
      </c>
      <c r="D6" s="18" t="str">
        <f aca="false">TRIM(IF(AND('Реестр рисков'!$I$9=4,'Реестр рисков'!$J$9=2),'Реестр рисков'!$A$9&amp;" ","")&amp;IF(AND('Реестр рисков'!$I$10=4,'Реестр рисков'!$J$10=2),'Реестр рисков'!$A$10&amp;" ","")&amp;IF(AND('Реестр рисков'!$I$11=4,'Реестр рисков'!$J$11=2),'Реестр рисков'!$A$11&amp;" ","")&amp;IF(AND('Реестр рисков'!$I$12=4,'Реестр рисков'!$J$12=2),'Реестр рисков'!$A$12&amp;" ","")&amp;IF(AND('Реестр рисков'!$I$13=4,'Реестр рисков'!$J$13=2),'Реестр рисков'!$A$13&amp;" ","")&amp;IF(AND('Реестр рисков'!$I$14=4,'Реестр рисков'!$J$14=2),'Реестр рисков'!$A$14&amp;" ","")&amp;IF(AND('Реестр рисков'!$I$15=4,'Реестр рисков'!$J$15=2),'Реестр рисков'!$A$15&amp;" ","")&amp;IF(AND('Реестр рисков'!$I$16=4,'Реестр рисков'!$J$16=2),'Реестр рисков'!$A$16&amp;" ","")&amp;IF(AND('Реестр рисков'!$I$17=4,'Реестр рисков'!$J$17=2),'Реестр рисков'!$A$17&amp;" ","")&amp;IF(AND('Реестр рисков'!$I$18=4,'Реестр рисков'!$J$18=2),'Реестр рисков'!$A$18&amp;" ","")&amp;IF(AND('Реестр рисков'!$I$19=4,'Реестр рисков'!$J$19=2),'Реестр рисков'!$A$19&amp;" ","")&amp;IF(AND('Реестр рисков'!$I$20=4,'Реестр рисков'!$J$20=2),'Реестр рисков'!$A$20&amp;" ","")&amp;IF(AND('Реестр рисков'!$I$21=4,'Реестр рисков'!$J$21=2),'Реестр рисков'!$A$21&amp;" ","")&amp;IF(AND('Реестр рисков'!$I$22=4,'Реестр рисков'!$J$22=2),'Реестр рисков'!$A$22&amp;" ","")&amp;IF(AND('Реестр рисков'!$I$23=4,'Реестр рисков'!$J$23=2),'Реестр рисков'!$A$23&amp;" ","")&amp;IF(AND('Реестр рисков'!$I$24=4,'Реестр рисков'!$J$24=2),'Реестр рисков'!$A$24&amp;" ","")&amp;IF(AND('Реестр рисков'!$I$25=4,'Реестр рисков'!$J$25=2),'Реестр рисков'!$A$25&amp;" ",""))</f>
        <v/>
      </c>
      <c r="E6" s="19" t="str">
        <f aca="false">TRIM(IF(AND('Реестр рисков'!$I$9=4,'Реестр рисков'!$J$9=3),'Реестр рисков'!$A$9&amp;" ","")&amp;IF(AND('Реестр рисков'!$I$10=4,'Реестр рисков'!$J$10=3),'Реестр рисков'!$A$10&amp;" ","")&amp;IF(AND('Реестр рисков'!$I$11=4,'Реестр рисков'!$J$11=3),'Реестр рисков'!$A$11&amp;" ","")&amp;IF(AND('Реестр рисков'!$I$12=4,'Реестр рисков'!$J$12=3),'Реестр рисков'!$A$12&amp;" ","")&amp;IF(AND('Реестр рисков'!$I$13=4,'Реестр рисков'!$J$13=3),'Реестр рисков'!$A$13&amp;" ","")&amp;IF(AND('Реестр рисков'!$I$14=4,'Реестр рисков'!$J$14=3),'Реестр рисков'!$A$14&amp;" ","")&amp;IF(AND('Реестр рисков'!$I$15=4,'Реестр рисков'!$J$15=3),'Реестр рисков'!$A$15&amp;" ","")&amp;IF(AND('Реестр рисков'!$I$16=4,'Реестр рисков'!$J$16=3),'Реестр рисков'!$A$16&amp;" ","")&amp;IF(AND('Реестр рисков'!$I$17=4,'Реестр рисков'!$J$17=3),'Реестр рисков'!$A$17&amp;" ","")&amp;IF(AND('Реестр рисков'!$I$18=4,'Реестр рисков'!$J$18=3),'Реестр рисков'!$A$18&amp;" ","")&amp;IF(AND('Реестр рисков'!$I$19=4,'Реестр рисков'!$J$19=3),'Реестр рисков'!$A$19&amp;" ","")&amp;IF(AND('Реестр рисков'!$I$20=4,'Реестр рисков'!$J$20=3),'Реестр рисков'!$A$20&amp;" ","")&amp;IF(AND('Реестр рисков'!$I$21=4,'Реестр рисков'!$J$21=3),'Реестр рисков'!$A$21&amp;" ","")&amp;IF(AND('Реестр рисков'!$I$22=4,'Реестр рисков'!$J$22=3),'Реестр рисков'!$A$22&amp;" ","")&amp;IF(AND('Реестр рисков'!$I$23=4,'Реестр рисков'!$J$23=3),'Реестр рисков'!$A$23&amp;" ","")&amp;IF(AND('Реестр рисков'!$I$24=4,'Реестр рисков'!$J$24=3),'Реестр рисков'!$A$24&amp;" ","")&amp;IF(AND('Реестр рисков'!$I$25=4,'Реестр рисков'!$J$25=3),'Реестр рисков'!$A$25&amp;" ",""))</f>
        <v>Р1</v>
      </c>
      <c r="F6" s="19" t="str">
        <f aca="false">TRIM(IF(AND('Реестр рисков'!$I$9=4,'Реестр рисков'!$J$9=4),'Реестр рисков'!$A$9&amp;" ","")&amp;IF(AND('Реестр рисков'!$I$10=4,'Реестр рисков'!$J$10=4),'Реестр рисков'!$A$10&amp;" ","")&amp;IF(AND('Реестр рисков'!$I$11=4,'Реестр рисков'!$J$11=4),'Реестр рисков'!$A$11&amp;" ","")&amp;IF(AND('Реестр рисков'!$I$12=4,'Реестр рисков'!$J$12=4),'Реестр рисков'!$A$12&amp;" ","")&amp;IF(AND('Реестр рисков'!$I$13=4,'Реестр рисков'!$J$13=4),'Реестр рисков'!$A$13&amp;" ","")&amp;IF(AND('Реестр рисков'!$I$14=4,'Реестр рисков'!$J$14=4),'Реестр рисков'!$A$14&amp;" ","")&amp;IF(AND('Реестр рисков'!$I$15=4,'Реестр рисков'!$J$15=4),'Реестр рисков'!$A$15&amp;" ","")&amp;IF(AND('Реестр рисков'!$I$16=4,'Реестр рисков'!$J$16=4),'Реестр рисков'!$A$16&amp;" ","")&amp;IF(AND('Реестр рисков'!$I$17=4,'Реестр рисков'!$J$17=4),'Реестр рисков'!$A$17&amp;" ","")&amp;IF(AND('Реестр рисков'!$I$18=4,'Реестр рисков'!$J$18=4),'Реестр рисков'!$A$18&amp;" ","")&amp;IF(AND('Реестр рисков'!$I$19=4,'Реестр рисков'!$J$19=4),'Реестр рисков'!$A$19&amp;" ","")&amp;IF(AND('Реестр рисков'!$I$20=4,'Реестр рисков'!$J$20=4),'Реестр рисков'!$A$20&amp;" ","")&amp;IF(AND('Реестр рисков'!$I$21=4,'Реестр рисков'!$J$21=4),'Реестр рисков'!$A$21&amp;" ","")&amp;IF(AND('Реестр рисков'!$I$22=4,'Реестр рисков'!$J$22=4),'Реестр рисков'!$A$22&amp;" ","")&amp;IF(AND('Реестр рисков'!$I$23=4,'Реестр рисков'!$J$23=4),'Реестр рисков'!$A$23&amp;" ","")&amp;IF(AND('Реестр рисков'!$I$24=4,'Реестр рисков'!$J$24=4),'Реестр рисков'!$A$24&amp;" ","")&amp;IF(AND('Реестр рисков'!$I$25=4,'Реестр рисков'!$J$25=4),'Реестр рисков'!$A$25&amp;" ",""))</f>
        <v>Р7</v>
      </c>
      <c r="G6" s="19" t="str">
        <f aca="false">TRIM(IF(AND('Реестр рисков'!$I$9=4,'Реестр рисков'!$J$9=5),'Реестр рисков'!$A$9&amp;" ","")&amp;IF(AND('Реестр рисков'!$I$10=4,'Реестр рисков'!$J$10=5),'Реестр рисков'!$A$10&amp;" ","")&amp;IF(AND('Реестр рисков'!$I$11=4,'Реестр рисков'!$J$11=5),'Реестр рисков'!$A$11&amp;" ","")&amp;IF(AND('Реестр рисков'!$I$12=4,'Реестр рисков'!$J$12=5),'Реестр рисков'!$A$12&amp;" ","")&amp;IF(AND('Реестр рисков'!$I$13=4,'Реестр рисков'!$J$13=5),'Реестр рисков'!$A$13&amp;" ","")&amp;IF(AND('Реестр рисков'!$I$14=4,'Реестр рисков'!$J$14=5),'Реестр рисков'!$A$14&amp;" ","")&amp;IF(AND('Реестр рисков'!$I$15=4,'Реестр рисков'!$J$15=5),'Реестр рисков'!$A$15&amp;" ","")&amp;IF(AND('Реестр рисков'!$I$16=4,'Реестр рисков'!$J$16=5),'Реестр рисков'!$A$16&amp;" ","")&amp;IF(AND('Реестр рисков'!$I$17=4,'Реестр рисков'!$J$17=5),'Реестр рисков'!$A$17&amp;" ","")&amp;IF(AND('Реестр рисков'!$I$18=4,'Реестр рисков'!$J$18=5),'Реестр рисков'!$A$18&amp;" ","")&amp;IF(AND('Реестр рисков'!$I$19=4,'Реестр рисков'!$J$19=5),'Реестр рисков'!$A$19&amp;" ","")&amp;IF(AND('Реестр рисков'!$I$20=4,'Реестр рисков'!$J$20=5),'Реестр рисков'!$A$20&amp;" ","")&amp;IF(AND('Реестр рисков'!$I$21=4,'Реестр рисков'!$J$21=5),'Реестр рисков'!$A$21&amp;" ","")&amp;IF(AND('Реестр рисков'!$I$22=4,'Реестр рисков'!$J$22=5),'Реестр рисков'!$A$22&amp;" ","")&amp;IF(AND('Реестр рисков'!$I$23=4,'Реестр рисков'!$J$23=5),'Реестр рисков'!$A$23&amp;" ","")&amp;IF(AND('Реестр рисков'!$I$24=4,'Реестр рисков'!$J$24=5),'Реестр рисков'!$A$24&amp;" ","")&amp;IF(AND('Реестр рисков'!$I$25=4,'Реестр рисков'!$J$25=5),'Реестр рисков'!$A$25&amp;" ",""))</f>
        <v/>
      </c>
      <c r="I6" s="20" t="str">
        <f aca="false">INDEX('Реестр рисков'!$A$9:$A$25,MATCH(1,'Реестр рисков'!$T$9:$T$25,0))&amp;". "&amp;INDEX('Реестр рисков'!$C$9:$C$25,MATCH(1,'Реестр рисков'!$T$9:$T$25,0))</f>
        <v>Р7. Нехватка времени участников из-за учёбы</v>
      </c>
      <c r="J6" s="21" t="n">
        <f aca="false">INDEX('Реестр рисков'!$K$9:$K$25,MATCH(1,'Реестр рисков'!$T$9:$T$25,0))</f>
        <v>16</v>
      </c>
      <c r="K6" s="21" t="str">
        <f aca="false">INDEX('Реестр рисков'!$L$9:$L$25,MATCH(1,'Реестр рисков'!$T$9:$T$25,0))</f>
        <v>Высокий</v>
      </c>
      <c r="L6" s="20" t="str">
        <f aca="false">INDEX('Реестр рисков'!$P$9:$P$25,MATCH(1,'Реестр рисков'!$T$9:$T$25,0))</f>
        <v>Лопатин Д.И.</v>
      </c>
    </row>
    <row r="7" customFormat="false" ht="39.75" hidden="false" customHeight="true" outlineLevel="0" collapsed="false">
      <c r="A7" s="4" t="n">
        <v>3</v>
      </c>
      <c r="B7" s="4" t="s">
        <v>243</v>
      </c>
      <c r="C7" s="17" t="str">
        <f aca="false">TRIM(IF(AND('Реестр рисков'!$I$9=3,'Реестр рисков'!$J$9=1),'Реестр рисков'!$A$9&amp;" ","")&amp;IF(AND('Реестр рисков'!$I$10=3,'Реестр рисков'!$J$10=1),'Реестр рисков'!$A$10&amp;" ","")&amp;IF(AND('Реестр рисков'!$I$11=3,'Реестр рисков'!$J$11=1),'Реестр рисков'!$A$11&amp;" ","")&amp;IF(AND('Реестр рисков'!$I$12=3,'Реестр рисков'!$J$12=1),'Реестр рисков'!$A$12&amp;" ","")&amp;IF(AND('Реестр рисков'!$I$13=3,'Реестр рисков'!$J$13=1),'Реестр рисков'!$A$13&amp;" ","")&amp;IF(AND('Реестр рисков'!$I$14=3,'Реестр рисков'!$J$14=1),'Реестр рисков'!$A$14&amp;" ","")&amp;IF(AND('Реестр рисков'!$I$15=3,'Реестр рисков'!$J$15=1),'Реестр рисков'!$A$15&amp;" ","")&amp;IF(AND('Реестр рисков'!$I$16=3,'Реестр рисков'!$J$16=1),'Реестр рисков'!$A$16&amp;" ","")&amp;IF(AND('Реестр рисков'!$I$17=3,'Реестр рисков'!$J$17=1),'Реестр рисков'!$A$17&amp;" ","")&amp;IF(AND('Реестр рисков'!$I$18=3,'Реестр рисков'!$J$18=1),'Реестр рисков'!$A$18&amp;" ","")&amp;IF(AND('Реестр рисков'!$I$19=3,'Реестр рисков'!$J$19=1),'Реестр рисков'!$A$19&amp;" ","")&amp;IF(AND('Реестр рисков'!$I$20=3,'Реестр рисков'!$J$20=1),'Реестр рисков'!$A$20&amp;" ","")&amp;IF(AND('Реестр рисков'!$I$21=3,'Реестр рисков'!$J$21=1),'Реестр рисков'!$A$21&amp;" ","")&amp;IF(AND('Реестр рисков'!$I$22=3,'Реестр рисков'!$J$22=1),'Реестр рисков'!$A$22&amp;" ","")&amp;IF(AND('Реестр рисков'!$I$23=3,'Реестр рисков'!$J$23=1),'Реестр рисков'!$A$23&amp;" ","")&amp;IF(AND('Реестр рисков'!$I$24=3,'Реестр рисков'!$J$24=1),'Реестр рисков'!$A$24&amp;" ","")&amp;IF(AND('Реестр рисков'!$I$25=3,'Реестр рисков'!$J$25=1),'Реестр рисков'!$A$25&amp;" ",""))</f>
        <v/>
      </c>
      <c r="D7" s="18" t="str">
        <f aca="false">TRIM(IF(AND('Реестр рисков'!$I$9=3,'Реестр рисков'!$J$9=2),'Реестр рисков'!$A$9&amp;" ","")&amp;IF(AND('Реестр рисков'!$I$10=3,'Реестр рисков'!$J$10=2),'Реестр рисков'!$A$10&amp;" ","")&amp;IF(AND('Реестр рисков'!$I$11=3,'Реестр рисков'!$J$11=2),'Реестр рисков'!$A$11&amp;" ","")&amp;IF(AND('Реестр рисков'!$I$12=3,'Реестр рисков'!$J$12=2),'Реестр рисков'!$A$12&amp;" ","")&amp;IF(AND('Реестр рисков'!$I$13=3,'Реестр рисков'!$J$13=2),'Реестр рисков'!$A$13&amp;" ","")&amp;IF(AND('Реестр рисков'!$I$14=3,'Реестр рисков'!$J$14=2),'Реестр рисков'!$A$14&amp;" ","")&amp;IF(AND('Реестр рисков'!$I$15=3,'Реестр рисков'!$J$15=2),'Реестр рисков'!$A$15&amp;" ","")&amp;IF(AND('Реестр рисков'!$I$16=3,'Реестр рисков'!$J$16=2),'Реестр рисков'!$A$16&amp;" ","")&amp;IF(AND('Реестр рисков'!$I$17=3,'Реестр рисков'!$J$17=2),'Реестр рисков'!$A$17&amp;" ","")&amp;IF(AND('Реестр рисков'!$I$18=3,'Реестр рисков'!$J$18=2),'Реестр рисков'!$A$18&amp;" ","")&amp;IF(AND('Реестр рисков'!$I$19=3,'Реестр рисков'!$J$19=2),'Реестр рисков'!$A$19&amp;" ","")&amp;IF(AND('Реестр рисков'!$I$20=3,'Реестр рисков'!$J$20=2),'Реестр рисков'!$A$20&amp;" ","")&amp;IF(AND('Реестр рисков'!$I$21=3,'Реестр рисков'!$J$21=2),'Реестр рисков'!$A$21&amp;" ","")&amp;IF(AND('Реестр рисков'!$I$22=3,'Реестр рисков'!$J$22=2),'Реестр рисков'!$A$22&amp;" ","")&amp;IF(AND('Реестр рисков'!$I$23=3,'Реестр рисков'!$J$23=2),'Реестр рисков'!$A$23&amp;" ","")&amp;IF(AND('Реестр рисков'!$I$24=3,'Реестр рисков'!$J$24=2),'Реестр рисков'!$A$24&amp;" ","")&amp;IF(AND('Реестр рисков'!$I$25=3,'Реестр рисков'!$J$25=2),'Реестр рисков'!$A$25&amp;" ",""))</f>
        <v/>
      </c>
      <c r="E7" s="18" t="str">
        <f aca="false">TRIM(IF(AND('Реестр рисков'!$I$9=3,'Реестр рисков'!$J$9=3),'Реестр рисков'!$A$9&amp;" ","")&amp;IF(AND('Реестр рисков'!$I$10=3,'Реестр рисков'!$J$10=3),'Реестр рисков'!$A$10&amp;" ","")&amp;IF(AND('Реестр рисков'!$I$11=3,'Реестр рисков'!$J$11=3),'Реестр рисков'!$A$11&amp;" ","")&amp;IF(AND('Реестр рисков'!$I$12=3,'Реестр рисков'!$J$12=3),'Реестр рисков'!$A$12&amp;" ","")&amp;IF(AND('Реестр рисков'!$I$13=3,'Реестр рисков'!$J$13=3),'Реестр рисков'!$A$13&amp;" ","")&amp;IF(AND('Реестр рисков'!$I$14=3,'Реестр рисков'!$J$14=3),'Реестр рисков'!$A$14&amp;" ","")&amp;IF(AND('Реестр рисков'!$I$15=3,'Реестр рисков'!$J$15=3),'Реестр рисков'!$A$15&amp;" ","")&amp;IF(AND('Реестр рисков'!$I$16=3,'Реестр рисков'!$J$16=3),'Реестр рисков'!$A$16&amp;" ","")&amp;IF(AND('Реестр рисков'!$I$17=3,'Реестр рисков'!$J$17=3),'Реестр рисков'!$A$17&amp;" ","")&amp;IF(AND('Реестр рисков'!$I$18=3,'Реестр рисков'!$J$18=3),'Реестр рисков'!$A$18&amp;" ","")&amp;IF(AND('Реестр рисков'!$I$19=3,'Реестр рисков'!$J$19=3),'Реестр рисков'!$A$19&amp;" ","")&amp;IF(AND('Реестр рисков'!$I$20=3,'Реестр рисков'!$J$20=3),'Реестр рисков'!$A$20&amp;" ","")&amp;IF(AND('Реестр рисков'!$I$21=3,'Реестр рисков'!$J$21=3),'Реестр рисков'!$A$21&amp;" ","")&amp;IF(AND('Реестр рисков'!$I$22=3,'Реестр рисков'!$J$22=3),'Реестр рисков'!$A$22&amp;" ","")&amp;IF(AND('Реестр рисков'!$I$23=3,'Реестр рисков'!$J$23=3),'Реестр рисков'!$A$23&amp;" ","")&amp;IF(AND('Реестр рисков'!$I$24=3,'Реестр рисков'!$J$24=3),'Реестр рисков'!$A$24&amp;" ","")&amp;IF(AND('Реестр рисков'!$I$25=3,'Реестр рисков'!$J$25=3),'Реестр рисков'!$A$25&amp;" ",""))</f>
        <v>Р2 Р6 Р13</v>
      </c>
      <c r="F7" s="19" t="str">
        <f aca="false">TRIM(IF(AND('Реестр рисков'!$I$9=3,'Реестр рисков'!$J$9=4),'Реестр рисков'!$A$9&amp;" ","")&amp;IF(AND('Реестр рисков'!$I$10=3,'Реестр рисков'!$J$10=4),'Реестр рисков'!$A$10&amp;" ","")&amp;IF(AND('Реестр рисков'!$I$11=3,'Реестр рисков'!$J$11=4),'Реестр рисков'!$A$11&amp;" ","")&amp;IF(AND('Реестр рисков'!$I$12=3,'Реестр рисков'!$J$12=4),'Реестр рисков'!$A$12&amp;" ","")&amp;IF(AND('Реестр рисков'!$I$13=3,'Реестр рисков'!$J$13=4),'Реестр рисков'!$A$13&amp;" ","")&amp;IF(AND('Реестр рисков'!$I$14=3,'Реестр рисков'!$J$14=4),'Реестр рисков'!$A$14&amp;" ","")&amp;IF(AND('Реестр рисков'!$I$15=3,'Реестр рисков'!$J$15=4),'Реестр рисков'!$A$15&amp;" ","")&amp;IF(AND('Реестр рисков'!$I$16=3,'Реестр рисков'!$J$16=4),'Реестр рисков'!$A$16&amp;" ","")&amp;IF(AND('Реестр рисков'!$I$17=3,'Реестр рисков'!$J$17=4),'Реестр рисков'!$A$17&amp;" ","")&amp;IF(AND('Реестр рисков'!$I$18=3,'Реестр рисков'!$J$18=4),'Реестр рисков'!$A$18&amp;" ","")&amp;IF(AND('Реестр рисков'!$I$19=3,'Реестр рисков'!$J$19=4),'Реестр рисков'!$A$19&amp;" ","")&amp;IF(AND('Реестр рисков'!$I$20=3,'Реестр рисков'!$J$20=4),'Реестр рисков'!$A$20&amp;" ","")&amp;IF(AND('Реестр рисков'!$I$21=3,'Реестр рисков'!$J$21=4),'Реестр рисков'!$A$21&amp;" ","")&amp;IF(AND('Реестр рисков'!$I$22=3,'Реестр рисков'!$J$22=4),'Реестр рисков'!$A$22&amp;" ","")&amp;IF(AND('Реестр рисков'!$I$23=3,'Реестр рисков'!$J$23=4),'Реестр рисков'!$A$23&amp;" ","")&amp;IF(AND('Реестр рисков'!$I$24=3,'Реестр рисков'!$J$24=4),'Реестр рисков'!$A$24&amp;" ","")&amp;IF(AND('Реестр рисков'!$I$25=3,'Реестр рисков'!$J$25=4),'Реестр рисков'!$A$25&amp;" ",""))</f>
        <v>Р8 Р10 Р12</v>
      </c>
      <c r="G7" s="19" t="str">
        <f aca="false">TRIM(IF(AND('Реестр рисков'!$I$9=3,'Реестр рисков'!$J$9=5),'Реестр рисков'!$A$9&amp;" ","")&amp;IF(AND('Реестр рисков'!$I$10=3,'Реестр рисков'!$J$10=5),'Реестр рисков'!$A$10&amp;" ","")&amp;IF(AND('Реестр рисков'!$I$11=3,'Реестр рисков'!$J$11=5),'Реестр рисков'!$A$11&amp;" ","")&amp;IF(AND('Реестр рисков'!$I$12=3,'Реестр рисков'!$J$12=5),'Реестр рисков'!$A$12&amp;" ","")&amp;IF(AND('Реестр рисков'!$I$13=3,'Реестр рисков'!$J$13=5),'Реестр рисков'!$A$13&amp;" ","")&amp;IF(AND('Реестр рисков'!$I$14=3,'Реестр рисков'!$J$14=5),'Реестр рисков'!$A$14&amp;" ","")&amp;IF(AND('Реестр рисков'!$I$15=3,'Реестр рисков'!$J$15=5),'Реестр рисков'!$A$15&amp;" ","")&amp;IF(AND('Реестр рисков'!$I$16=3,'Реестр рисков'!$J$16=5),'Реестр рисков'!$A$16&amp;" ","")&amp;IF(AND('Реестр рисков'!$I$17=3,'Реестр рисков'!$J$17=5),'Реестр рисков'!$A$17&amp;" ","")&amp;IF(AND('Реестр рисков'!$I$18=3,'Реестр рисков'!$J$18=5),'Реестр рисков'!$A$18&amp;" ","")&amp;IF(AND('Реестр рисков'!$I$19=3,'Реестр рисков'!$J$19=5),'Реестр рисков'!$A$19&amp;" ","")&amp;IF(AND('Реестр рисков'!$I$20=3,'Реестр рисков'!$J$20=5),'Реестр рисков'!$A$20&amp;" ","")&amp;IF(AND('Реестр рисков'!$I$21=3,'Реестр рисков'!$J$21=5),'Реестр рисков'!$A$21&amp;" ","")&amp;IF(AND('Реестр рисков'!$I$22=3,'Реестр рисков'!$J$22=5),'Реестр рисков'!$A$22&amp;" ","")&amp;IF(AND('Реестр рисков'!$I$23=3,'Реестр рисков'!$J$23=5),'Реестр рисков'!$A$23&amp;" ","")&amp;IF(AND('Реестр рисков'!$I$24=3,'Реестр рисков'!$J$24=5),'Реестр рисков'!$A$24&amp;" ","")&amp;IF(AND('Реестр рисков'!$I$25=3,'Реестр рисков'!$J$25=5),'Реестр рисков'!$A$25&amp;" ",""))</f>
        <v>Р11</v>
      </c>
      <c r="I7" s="20" t="str">
        <f aca="false">INDEX('Реестр рисков'!$A$9:$A$25,MATCH(2,'Реестр рисков'!$T$9:$T$25,0))&amp;". "&amp;INDEX('Реестр рисков'!$C$9:$C$25,MATCH(2,'Реестр рисков'!$T$9:$T$25,0))</f>
        <v>Р11. Запрос на изменение № 1 не согласован</v>
      </c>
      <c r="J7" s="21" t="n">
        <f aca="false">INDEX('Реестр рисков'!$K$9:$K$25,MATCH(2,'Реестр рисков'!$T$9:$T$25,0))</f>
        <v>15</v>
      </c>
      <c r="K7" s="21" t="str">
        <f aca="false">INDEX('Реестр рисков'!$L$9:$L$25,MATCH(2,'Реестр рисков'!$T$9:$T$25,0))</f>
        <v>Высокий</v>
      </c>
      <c r="L7" s="20" t="str">
        <f aca="false">INDEX('Реестр рисков'!$P$9:$P$25,MATCH(2,'Реестр рисков'!$T$9:$T$25,0))</f>
        <v>Лопатин Д.И.</v>
      </c>
    </row>
    <row r="8" customFormat="false" ht="39.75" hidden="false" customHeight="true" outlineLevel="0" collapsed="false">
      <c r="A8" s="4" t="n">
        <v>2</v>
      </c>
      <c r="B8" s="4" t="s">
        <v>244</v>
      </c>
      <c r="C8" s="17" t="str">
        <f aca="false">TRIM(IF(AND('Реестр рисков'!$I$9=2,'Реестр рисков'!$J$9=1),'Реестр рисков'!$A$9&amp;" ","")&amp;IF(AND('Реестр рисков'!$I$10=2,'Реестр рисков'!$J$10=1),'Реестр рисков'!$A$10&amp;" ","")&amp;IF(AND('Реестр рисков'!$I$11=2,'Реестр рисков'!$J$11=1),'Реестр рисков'!$A$11&amp;" ","")&amp;IF(AND('Реестр рисков'!$I$12=2,'Реестр рисков'!$J$12=1),'Реестр рисков'!$A$12&amp;" ","")&amp;IF(AND('Реестр рисков'!$I$13=2,'Реестр рисков'!$J$13=1),'Реестр рисков'!$A$13&amp;" ","")&amp;IF(AND('Реестр рисков'!$I$14=2,'Реестр рисков'!$J$14=1),'Реестр рисков'!$A$14&amp;" ","")&amp;IF(AND('Реестр рисков'!$I$15=2,'Реестр рисков'!$J$15=1),'Реестр рисков'!$A$15&amp;" ","")&amp;IF(AND('Реестр рисков'!$I$16=2,'Реестр рисков'!$J$16=1),'Реестр рисков'!$A$16&amp;" ","")&amp;IF(AND('Реестр рисков'!$I$17=2,'Реестр рисков'!$J$17=1),'Реестр рисков'!$A$17&amp;" ","")&amp;IF(AND('Реестр рисков'!$I$18=2,'Реестр рисков'!$J$18=1),'Реестр рисков'!$A$18&amp;" ","")&amp;IF(AND('Реестр рисков'!$I$19=2,'Реестр рисков'!$J$19=1),'Реестр рисков'!$A$19&amp;" ","")&amp;IF(AND('Реестр рисков'!$I$20=2,'Реестр рисков'!$J$20=1),'Реестр рисков'!$A$20&amp;" ","")&amp;IF(AND('Реестр рисков'!$I$21=2,'Реестр рисков'!$J$21=1),'Реестр рисков'!$A$21&amp;" ","")&amp;IF(AND('Реестр рисков'!$I$22=2,'Реестр рисков'!$J$22=1),'Реестр рисков'!$A$22&amp;" ","")&amp;IF(AND('Реестр рисков'!$I$23=2,'Реестр рисков'!$J$23=1),'Реестр рисков'!$A$23&amp;" ","")&amp;IF(AND('Реестр рисков'!$I$24=2,'Реестр рисков'!$J$24=1),'Реестр рисков'!$A$24&amp;" ","")&amp;IF(AND('Реестр рисков'!$I$25=2,'Реестр рисков'!$J$25=1),'Реестр рисков'!$A$25&amp;" ",""))</f>
        <v/>
      </c>
      <c r="D8" s="17" t="str">
        <f aca="false">TRIM(IF(AND('Реестр рисков'!$I$9=2,'Реестр рисков'!$J$9=2),'Реестр рисков'!$A$9&amp;" ","")&amp;IF(AND('Реестр рисков'!$I$10=2,'Реестр рисков'!$J$10=2),'Реестр рисков'!$A$10&amp;" ","")&amp;IF(AND('Реестр рисков'!$I$11=2,'Реестр рисков'!$J$11=2),'Реестр рисков'!$A$11&amp;" ","")&amp;IF(AND('Реестр рисков'!$I$12=2,'Реестр рисков'!$J$12=2),'Реестр рисков'!$A$12&amp;" ","")&amp;IF(AND('Реестр рисков'!$I$13=2,'Реестр рисков'!$J$13=2),'Реестр рисков'!$A$13&amp;" ","")&amp;IF(AND('Реестр рисков'!$I$14=2,'Реестр рисков'!$J$14=2),'Реестр рисков'!$A$14&amp;" ","")&amp;IF(AND('Реестр рисков'!$I$15=2,'Реестр рисков'!$J$15=2),'Реестр рисков'!$A$15&amp;" ","")&amp;IF(AND('Реестр рисков'!$I$16=2,'Реестр рисков'!$J$16=2),'Реестр рисков'!$A$16&amp;" ","")&amp;IF(AND('Реестр рисков'!$I$17=2,'Реестр рисков'!$J$17=2),'Реестр рисков'!$A$17&amp;" ","")&amp;IF(AND('Реестр рисков'!$I$18=2,'Реестр рисков'!$J$18=2),'Реестр рисков'!$A$18&amp;" ","")&amp;IF(AND('Реестр рисков'!$I$19=2,'Реестр рисков'!$J$19=2),'Реестр рисков'!$A$19&amp;" ","")&amp;IF(AND('Реестр рисков'!$I$20=2,'Реестр рисков'!$J$20=2),'Реестр рисков'!$A$20&amp;" ","")&amp;IF(AND('Реестр рисков'!$I$21=2,'Реестр рисков'!$J$21=2),'Реестр рисков'!$A$21&amp;" ","")&amp;IF(AND('Реестр рисков'!$I$22=2,'Реестр рисков'!$J$22=2),'Реестр рисков'!$A$22&amp;" ","")&amp;IF(AND('Реестр рисков'!$I$23=2,'Реестр рисков'!$J$23=2),'Реестр рисков'!$A$23&amp;" ","")&amp;IF(AND('Реестр рисков'!$I$24=2,'Реестр рисков'!$J$24=2),'Реестр рисков'!$A$24&amp;" ","")&amp;IF(AND('Реестр рисков'!$I$25=2,'Реестр рисков'!$J$25=2),'Реестр рисков'!$A$25&amp;" ",""))</f>
        <v>Р4 Р9 Р17</v>
      </c>
      <c r="E8" s="18" t="str">
        <f aca="false">TRIM(IF(AND('Реестр рисков'!$I$9=2,'Реестр рисков'!$J$9=3),'Реестр рисков'!$A$9&amp;" ","")&amp;IF(AND('Реестр рисков'!$I$10=2,'Реестр рисков'!$J$10=3),'Реестр рисков'!$A$10&amp;" ","")&amp;IF(AND('Реестр рисков'!$I$11=2,'Реестр рисков'!$J$11=3),'Реестр рисков'!$A$11&amp;" ","")&amp;IF(AND('Реестр рисков'!$I$12=2,'Реестр рисков'!$J$12=3),'Реестр рисков'!$A$12&amp;" ","")&amp;IF(AND('Реестр рисков'!$I$13=2,'Реестр рисков'!$J$13=3),'Реестр рисков'!$A$13&amp;" ","")&amp;IF(AND('Реестр рисков'!$I$14=2,'Реестр рисков'!$J$14=3),'Реестр рисков'!$A$14&amp;" ","")&amp;IF(AND('Реестр рисков'!$I$15=2,'Реестр рисков'!$J$15=3),'Реестр рисков'!$A$15&amp;" ","")&amp;IF(AND('Реестр рисков'!$I$16=2,'Реестр рисков'!$J$16=3),'Реестр рисков'!$A$16&amp;" ","")&amp;IF(AND('Реестр рисков'!$I$17=2,'Реестр рисков'!$J$17=3),'Реестр рисков'!$A$17&amp;" ","")&amp;IF(AND('Реестр рисков'!$I$18=2,'Реестр рисков'!$J$18=3),'Реестр рисков'!$A$18&amp;" ","")&amp;IF(AND('Реестр рисков'!$I$19=2,'Реестр рисков'!$J$19=3),'Реестр рисков'!$A$19&amp;" ","")&amp;IF(AND('Реестр рисков'!$I$20=2,'Реестр рисков'!$J$20=3),'Реестр рисков'!$A$20&amp;" ","")&amp;IF(AND('Реестр рисков'!$I$21=2,'Реестр рисков'!$J$21=3),'Реестр рисков'!$A$21&amp;" ","")&amp;IF(AND('Реестр рисков'!$I$22=2,'Реестр рисков'!$J$22=3),'Реестр рисков'!$A$22&amp;" ","")&amp;IF(AND('Реестр рисков'!$I$23=2,'Реестр рисков'!$J$23=3),'Реестр рисков'!$A$23&amp;" ","")&amp;IF(AND('Реестр рисков'!$I$24=2,'Реестр рисков'!$J$24=3),'Реестр рисков'!$A$24&amp;" ","")&amp;IF(AND('Реестр рисков'!$I$25=2,'Реестр рисков'!$J$25=3),'Реестр рисков'!$A$25&amp;" ",""))</f>
        <v>Р15 Р16</v>
      </c>
      <c r="F8" s="18" t="str">
        <f aca="false">TRIM(IF(AND('Реестр рисков'!$I$9=2,'Реестр рисков'!$J$9=4),'Реестр рисков'!$A$9&amp;" ","")&amp;IF(AND('Реестр рисков'!$I$10=2,'Реестр рисков'!$J$10=4),'Реестр рисков'!$A$10&amp;" ","")&amp;IF(AND('Реестр рисков'!$I$11=2,'Реестр рисков'!$J$11=4),'Реестр рисков'!$A$11&amp;" ","")&amp;IF(AND('Реестр рисков'!$I$12=2,'Реестр рисков'!$J$12=4),'Реестр рисков'!$A$12&amp;" ","")&amp;IF(AND('Реестр рисков'!$I$13=2,'Реестр рисков'!$J$13=4),'Реестр рисков'!$A$13&amp;" ","")&amp;IF(AND('Реестр рисков'!$I$14=2,'Реестр рисков'!$J$14=4),'Реестр рисков'!$A$14&amp;" ","")&amp;IF(AND('Реестр рисков'!$I$15=2,'Реестр рисков'!$J$15=4),'Реестр рисков'!$A$15&amp;" ","")&amp;IF(AND('Реестр рисков'!$I$16=2,'Реестр рисков'!$J$16=4),'Реестр рисков'!$A$16&amp;" ","")&amp;IF(AND('Реестр рисков'!$I$17=2,'Реестр рисков'!$J$17=4),'Реестр рисков'!$A$17&amp;" ","")&amp;IF(AND('Реестр рисков'!$I$18=2,'Реестр рисков'!$J$18=4),'Реестр рисков'!$A$18&amp;" ","")&amp;IF(AND('Реестр рисков'!$I$19=2,'Реестр рисков'!$J$19=4),'Реестр рисков'!$A$19&amp;" ","")&amp;IF(AND('Реестр рисков'!$I$20=2,'Реестр рисков'!$J$20=4),'Реестр рисков'!$A$20&amp;" ","")&amp;IF(AND('Реестр рисков'!$I$21=2,'Реестр рисков'!$J$21=4),'Реестр рисков'!$A$21&amp;" ","")&amp;IF(AND('Реестр рисков'!$I$22=2,'Реестр рисков'!$J$22=4),'Реестр рисков'!$A$22&amp;" ","")&amp;IF(AND('Реестр рисков'!$I$23=2,'Реестр рисков'!$J$23=4),'Реестр рисков'!$A$23&amp;" ","")&amp;IF(AND('Реестр рисков'!$I$24=2,'Реестр рисков'!$J$24=4),'Реестр рисков'!$A$24&amp;" ","")&amp;IF(AND('Реестр рисков'!$I$25=2,'Реестр рисков'!$J$25=4),'Реестр рисков'!$A$25&amp;" ",""))</f>
        <v>Р3</v>
      </c>
      <c r="G8" s="18" t="str">
        <f aca="false">TRIM(IF(AND('Реестр рисков'!$I$9=2,'Реестр рисков'!$J$9=5),'Реестр рисков'!$A$9&amp;" ","")&amp;IF(AND('Реестр рисков'!$I$10=2,'Реестр рисков'!$J$10=5),'Реестр рисков'!$A$10&amp;" ","")&amp;IF(AND('Реестр рисков'!$I$11=2,'Реестр рисков'!$J$11=5),'Реестр рисков'!$A$11&amp;" ","")&amp;IF(AND('Реестр рисков'!$I$12=2,'Реестр рисков'!$J$12=5),'Реестр рисков'!$A$12&amp;" ","")&amp;IF(AND('Реестр рисков'!$I$13=2,'Реестр рисков'!$J$13=5),'Реестр рисков'!$A$13&amp;" ","")&amp;IF(AND('Реестр рисков'!$I$14=2,'Реестр рисков'!$J$14=5),'Реестр рисков'!$A$14&amp;" ","")&amp;IF(AND('Реестр рисков'!$I$15=2,'Реестр рисков'!$J$15=5),'Реестр рисков'!$A$15&amp;" ","")&amp;IF(AND('Реестр рисков'!$I$16=2,'Реестр рисков'!$J$16=5),'Реестр рисков'!$A$16&amp;" ","")&amp;IF(AND('Реестр рисков'!$I$17=2,'Реестр рисков'!$J$17=5),'Реестр рисков'!$A$17&amp;" ","")&amp;IF(AND('Реестр рисков'!$I$18=2,'Реестр рисков'!$J$18=5),'Реестр рисков'!$A$18&amp;" ","")&amp;IF(AND('Реестр рисков'!$I$19=2,'Реестр рисков'!$J$19=5),'Реестр рисков'!$A$19&amp;" ","")&amp;IF(AND('Реестр рисков'!$I$20=2,'Реестр рисков'!$J$20=5),'Реестр рисков'!$A$20&amp;" ","")&amp;IF(AND('Реестр рисков'!$I$21=2,'Реестр рисков'!$J$21=5),'Реестр рисков'!$A$21&amp;" ","")&amp;IF(AND('Реестр рисков'!$I$22=2,'Реестр рисков'!$J$22=5),'Реестр рисков'!$A$22&amp;" ","")&amp;IF(AND('Реестр рисков'!$I$23=2,'Реестр рисков'!$J$23=5),'Реестр рисков'!$A$23&amp;" ","")&amp;IF(AND('Реестр рисков'!$I$24=2,'Реестр рисков'!$J$24=5),'Реестр рисков'!$A$24&amp;" ","")&amp;IF(AND('Реестр рисков'!$I$25=2,'Реестр рисков'!$J$25=5),'Реестр рисков'!$A$25&amp;" ",""))</f>
        <v>Р5</v>
      </c>
      <c r="I8" s="20" t="str">
        <f aca="false">INDEX('Реестр рисков'!$A$9:$A$25,MATCH(3,'Реестр рисков'!$T$9:$T$25,0))&amp;". "&amp;INDEX('Реестр рисков'!$C$9:$C$25,MATCH(3,'Реестр рисков'!$T$9:$T$25,0))</f>
        <v>Р1. Неполные и меняющиеся требования</v>
      </c>
      <c r="J8" s="21" t="n">
        <f aca="false">INDEX('Реестр рисков'!$K$9:$K$25,MATCH(3,'Реестр рисков'!$T$9:$T$25,0))</f>
        <v>12</v>
      </c>
      <c r="K8" s="21" t="str">
        <f aca="false">INDEX('Реестр рисков'!$L$9:$L$25,MATCH(3,'Реестр рисков'!$T$9:$T$25,0))</f>
        <v>Высокий</v>
      </c>
      <c r="L8" s="20" t="str">
        <f aca="false">INDEX('Реестр рисков'!$P$9:$P$25,MATCH(3,'Реестр рисков'!$T$9:$T$25,0))</f>
        <v>Паноченко В.В.</v>
      </c>
    </row>
    <row r="9" customFormat="false" ht="39.75" hidden="false" customHeight="true" outlineLevel="0" collapsed="false">
      <c r="A9" s="4" t="n">
        <v>1</v>
      </c>
      <c r="B9" s="4" t="s">
        <v>245</v>
      </c>
      <c r="C9" s="17" t="str">
        <f aca="false">TRIM(IF(AND('Реестр рисков'!$I$9=1,'Реестр рисков'!$J$9=1),'Реестр рисков'!$A$9&amp;" ","")&amp;IF(AND('Реестр рисков'!$I$10=1,'Реестр рисков'!$J$10=1),'Реестр рисков'!$A$10&amp;" ","")&amp;IF(AND('Реестр рисков'!$I$11=1,'Реестр рисков'!$J$11=1),'Реестр рисков'!$A$11&amp;" ","")&amp;IF(AND('Реестр рисков'!$I$12=1,'Реестр рисков'!$J$12=1),'Реестр рисков'!$A$12&amp;" ","")&amp;IF(AND('Реестр рисков'!$I$13=1,'Реестр рисков'!$J$13=1),'Реестр рисков'!$A$13&amp;" ","")&amp;IF(AND('Реестр рисков'!$I$14=1,'Реестр рисков'!$J$14=1),'Реестр рисков'!$A$14&amp;" ","")&amp;IF(AND('Реестр рисков'!$I$15=1,'Реестр рисков'!$J$15=1),'Реестр рисков'!$A$15&amp;" ","")&amp;IF(AND('Реестр рисков'!$I$16=1,'Реестр рисков'!$J$16=1),'Реестр рисков'!$A$16&amp;" ","")&amp;IF(AND('Реестр рисков'!$I$17=1,'Реестр рисков'!$J$17=1),'Реестр рисков'!$A$17&amp;" ","")&amp;IF(AND('Реестр рисков'!$I$18=1,'Реестр рисков'!$J$18=1),'Реестр рисков'!$A$18&amp;" ","")&amp;IF(AND('Реестр рисков'!$I$19=1,'Реестр рисков'!$J$19=1),'Реестр рисков'!$A$19&amp;" ","")&amp;IF(AND('Реестр рисков'!$I$20=1,'Реестр рисков'!$J$20=1),'Реестр рисков'!$A$20&amp;" ","")&amp;IF(AND('Реестр рисков'!$I$21=1,'Реестр рисков'!$J$21=1),'Реестр рисков'!$A$21&amp;" ","")&amp;IF(AND('Реестр рисков'!$I$22=1,'Реестр рисков'!$J$22=1),'Реестр рисков'!$A$22&amp;" ","")&amp;IF(AND('Реестр рисков'!$I$23=1,'Реестр рисков'!$J$23=1),'Реестр рисков'!$A$23&amp;" ","")&amp;IF(AND('Реестр рисков'!$I$24=1,'Реестр рисков'!$J$24=1),'Реестр рисков'!$A$24&amp;" ","")&amp;IF(AND('Реестр рисков'!$I$25=1,'Реестр рисков'!$J$25=1),'Реестр рисков'!$A$25&amp;" ",""))</f>
        <v/>
      </c>
      <c r="D9" s="17" t="str">
        <f aca="false">TRIM(IF(AND('Реестр рисков'!$I$9=1,'Реестр рисков'!$J$9=2),'Реестр рисков'!$A$9&amp;" ","")&amp;IF(AND('Реестр рисков'!$I$10=1,'Реестр рисков'!$J$10=2),'Реестр рисков'!$A$10&amp;" ","")&amp;IF(AND('Реестр рисков'!$I$11=1,'Реестр рисков'!$J$11=2),'Реестр рисков'!$A$11&amp;" ","")&amp;IF(AND('Реестр рисков'!$I$12=1,'Реестр рисков'!$J$12=2),'Реестр рисков'!$A$12&amp;" ","")&amp;IF(AND('Реестр рисков'!$I$13=1,'Реестр рисков'!$J$13=2),'Реестр рисков'!$A$13&amp;" ","")&amp;IF(AND('Реестр рисков'!$I$14=1,'Реестр рисков'!$J$14=2),'Реестр рисков'!$A$14&amp;" ","")&amp;IF(AND('Реестр рисков'!$I$15=1,'Реестр рисков'!$J$15=2),'Реестр рисков'!$A$15&amp;" ","")&amp;IF(AND('Реестр рисков'!$I$16=1,'Реестр рисков'!$J$16=2),'Реестр рисков'!$A$16&amp;" ","")&amp;IF(AND('Реестр рисков'!$I$17=1,'Реестр рисков'!$J$17=2),'Реестр рисков'!$A$17&amp;" ","")&amp;IF(AND('Реестр рисков'!$I$18=1,'Реестр рисков'!$J$18=2),'Реестр рисков'!$A$18&amp;" ","")&amp;IF(AND('Реестр рисков'!$I$19=1,'Реестр рисков'!$J$19=2),'Реестр рисков'!$A$19&amp;" ","")&amp;IF(AND('Реестр рисков'!$I$20=1,'Реестр рисков'!$J$20=2),'Реестр рисков'!$A$20&amp;" ","")&amp;IF(AND('Реестр рисков'!$I$21=1,'Реестр рисков'!$J$21=2),'Реестр рисков'!$A$21&amp;" ","")&amp;IF(AND('Реестр рисков'!$I$22=1,'Реестр рисков'!$J$22=2),'Реестр рисков'!$A$22&amp;" ","")&amp;IF(AND('Реестр рисков'!$I$23=1,'Реестр рисков'!$J$23=2),'Реестр рисков'!$A$23&amp;" ","")&amp;IF(AND('Реестр рисков'!$I$24=1,'Реестр рисков'!$J$24=2),'Реестр рисков'!$A$24&amp;" ","")&amp;IF(AND('Реестр рисков'!$I$25=1,'Реестр рисков'!$J$25=2),'Реестр рисков'!$A$25&amp;" ",""))</f>
        <v/>
      </c>
      <c r="E9" s="17" t="str">
        <f aca="false">TRIM(IF(AND('Реестр рисков'!$I$9=1,'Реестр рисков'!$J$9=3),'Реестр рисков'!$A$9&amp;" ","")&amp;IF(AND('Реестр рисков'!$I$10=1,'Реестр рисков'!$J$10=3),'Реестр рисков'!$A$10&amp;" ","")&amp;IF(AND('Реестр рисков'!$I$11=1,'Реестр рисков'!$J$11=3),'Реестр рисков'!$A$11&amp;" ","")&amp;IF(AND('Реестр рисков'!$I$12=1,'Реестр рисков'!$J$12=3),'Реестр рисков'!$A$12&amp;" ","")&amp;IF(AND('Реестр рисков'!$I$13=1,'Реестр рисков'!$J$13=3),'Реестр рисков'!$A$13&amp;" ","")&amp;IF(AND('Реестр рисков'!$I$14=1,'Реестр рисков'!$J$14=3),'Реестр рисков'!$A$14&amp;" ","")&amp;IF(AND('Реестр рисков'!$I$15=1,'Реестр рисков'!$J$15=3),'Реестр рисков'!$A$15&amp;" ","")&amp;IF(AND('Реестр рисков'!$I$16=1,'Реестр рисков'!$J$16=3),'Реестр рисков'!$A$16&amp;" ","")&amp;IF(AND('Реестр рисков'!$I$17=1,'Реестр рисков'!$J$17=3),'Реестр рисков'!$A$17&amp;" ","")&amp;IF(AND('Реестр рисков'!$I$18=1,'Реестр рисков'!$J$18=3),'Реестр рисков'!$A$18&amp;" ","")&amp;IF(AND('Реестр рисков'!$I$19=1,'Реестр рисков'!$J$19=3),'Реестр рисков'!$A$19&amp;" ","")&amp;IF(AND('Реестр рисков'!$I$20=1,'Реестр рисков'!$J$20=3),'Реестр рисков'!$A$20&amp;" ","")&amp;IF(AND('Реестр рисков'!$I$21=1,'Реестр рисков'!$J$21=3),'Реестр рисков'!$A$21&amp;" ","")&amp;IF(AND('Реестр рисков'!$I$22=1,'Реестр рисков'!$J$22=3),'Реестр рисков'!$A$22&amp;" ","")&amp;IF(AND('Реестр рисков'!$I$23=1,'Реестр рисков'!$J$23=3),'Реестр рисков'!$A$23&amp;" ","")&amp;IF(AND('Реестр рисков'!$I$24=1,'Реестр рисков'!$J$24=3),'Реестр рисков'!$A$24&amp;" ","")&amp;IF(AND('Реестр рисков'!$I$25=1,'Реестр рисков'!$J$25=3),'Реестр рисков'!$A$25&amp;" ",""))</f>
        <v/>
      </c>
      <c r="F9" s="17" t="str">
        <f aca="false">TRIM(IF(AND('Реестр рисков'!$I$9=1,'Реестр рисков'!$J$9=4),'Реестр рисков'!$A$9&amp;" ","")&amp;IF(AND('Реестр рисков'!$I$10=1,'Реестр рисков'!$J$10=4),'Реестр рисков'!$A$10&amp;" ","")&amp;IF(AND('Реестр рисков'!$I$11=1,'Реестр рисков'!$J$11=4),'Реестр рисков'!$A$11&amp;" ","")&amp;IF(AND('Реестр рисков'!$I$12=1,'Реестр рисков'!$J$12=4),'Реестр рисков'!$A$12&amp;" ","")&amp;IF(AND('Реестр рисков'!$I$13=1,'Реестр рисков'!$J$13=4),'Реестр рисков'!$A$13&amp;" ","")&amp;IF(AND('Реестр рисков'!$I$14=1,'Реестр рисков'!$J$14=4),'Реестр рисков'!$A$14&amp;" ","")&amp;IF(AND('Реестр рисков'!$I$15=1,'Реестр рисков'!$J$15=4),'Реестр рисков'!$A$15&amp;" ","")&amp;IF(AND('Реестр рисков'!$I$16=1,'Реестр рисков'!$J$16=4),'Реестр рисков'!$A$16&amp;" ","")&amp;IF(AND('Реестр рисков'!$I$17=1,'Реестр рисков'!$J$17=4),'Реестр рисков'!$A$17&amp;" ","")&amp;IF(AND('Реестр рисков'!$I$18=1,'Реестр рисков'!$J$18=4),'Реестр рисков'!$A$18&amp;" ","")&amp;IF(AND('Реестр рисков'!$I$19=1,'Реестр рисков'!$J$19=4),'Реестр рисков'!$A$19&amp;" ","")&amp;IF(AND('Реестр рисков'!$I$20=1,'Реестр рисков'!$J$20=4),'Реестр рисков'!$A$20&amp;" ","")&amp;IF(AND('Реестр рисков'!$I$21=1,'Реестр рисков'!$J$21=4),'Реестр рисков'!$A$21&amp;" ","")&amp;IF(AND('Реестр рисков'!$I$22=1,'Реестр рисков'!$J$22=4),'Реестр рисков'!$A$22&amp;" ","")&amp;IF(AND('Реестр рисков'!$I$23=1,'Реестр рисков'!$J$23=4),'Реестр рисков'!$A$23&amp;" ","")&amp;IF(AND('Реестр рисков'!$I$24=1,'Реестр рисков'!$J$24=4),'Реестр рисков'!$A$24&amp;" ","")&amp;IF(AND('Реестр рисков'!$I$25=1,'Реестр рисков'!$J$25=4),'Реестр рисков'!$A$25&amp;" ",""))</f>
        <v>Р14</v>
      </c>
      <c r="G9" s="17" t="str">
        <f aca="false">TRIM(IF(AND('Реестр рисков'!$I$9=1,'Реестр рисков'!$J$9=5),'Реестр рисков'!$A$9&amp;" ","")&amp;IF(AND('Реестр рисков'!$I$10=1,'Реестр рисков'!$J$10=5),'Реестр рисков'!$A$10&amp;" ","")&amp;IF(AND('Реестр рисков'!$I$11=1,'Реестр рисков'!$J$11=5),'Реестр рисков'!$A$11&amp;" ","")&amp;IF(AND('Реестр рисков'!$I$12=1,'Реестр рисков'!$J$12=5),'Реестр рисков'!$A$12&amp;" ","")&amp;IF(AND('Реестр рисков'!$I$13=1,'Реестр рисков'!$J$13=5),'Реестр рисков'!$A$13&amp;" ","")&amp;IF(AND('Реестр рисков'!$I$14=1,'Реестр рисков'!$J$14=5),'Реестр рисков'!$A$14&amp;" ","")&amp;IF(AND('Реестр рисков'!$I$15=1,'Реестр рисков'!$J$15=5),'Реестр рисков'!$A$15&amp;" ","")&amp;IF(AND('Реестр рисков'!$I$16=1,'Реестр рисков'!$J$16=5),'Реестр рисков'!$A$16&amp;" ","")&amp;IF(AND('Реестр рисков'!$I$17=1,'Реестр рисков'!$J$17=5),'Реестр рисков'!$A$17&amp;" ","")&amp;IF(AND('Реестр рисков'!$I$18=1,'Реестр рисков'!$J$18=5),'Реестр рисков'!$A$18&amp;" ","")&amp;IF(AND('Реестр рисков'!$I$19=1,'Реестр рисков'!$J$19=5),'Реестр рисков'!$A$19&amp;" ","")&amp;IF(AND('Реестр рисков'!$I$20=1,'Реестр рисков'!$J$20=5),'Реестр рисков'!$A$20&amp;" ","")&amp;IF(AND('Реестр рисков'!$I$21=1,'Реестр рисков'!$J$21=5),'Реестр рисков'!$A$21&amp;" ","")&amp;IF(AND('Реестр рисков'!$I$22=1,'Реестр рисков'!$J$22=5),'Реестр рисков'!$A$22&amp;" ","")&amp;IF(AND('Реестр рисков'!$I$23=1,'Реестр рисков'!$J$23=5),'Реестр рисков'!$A$23&amp;" ","")&amp;IF(AND('Реестр рисков'!$I$24=1,'Реестр рисков'!$J$24=5),'Реестр рисков'!$A$24&amp;" ","")&amp;IF(AND('Реестр рисков'!$I$25=1,'Реестр рисков'!$J$25=5),'Реестр рисков'!$A$25&amp;" ",""))</f>
        <v/>
      </c>
      <c r="I9" s="20" t="str">
        <f aca="false">INDEX('Реестр рисков'!$A$9:$A$25,MATCH(4,'Реестр рисков'!$T$9:$T$25,0))&amp;". "&amp;INDEX('Реестр рисков'!$C$9:$C$25,MATCH(4,'Реестр рисков'!$T$9:$T$25,0))</f>
        <v>Р8. Превышение плановой трудоёмкости и стоимости</v>
      </c>
      <c r="J9" s="21" t="n">
        <f aca="false">INDEX('Реестр рисков'!$K$9:$K$25,MATCH(4,'Реестр рисков'!$T$9:$T$25,0))</f>
        <v>12</v>
      </c>
      <c r="K9" s="21" t="str">
        <f aca="false">INDEX('Реестр рисков'!$L$9:$L$25,MATCH(4,'Реестр рисков'!$T$9:$T$25,0))</f>
        <v>Высокий</v>
      </c>
      <c r="L9" s="20" t="str">
        <f aca="false">INDEX('Реестр рисков'!$P$9:$P$25,MATCH(4,'Реестр рисков'!$T$9:$T$25,0))</f>
        <v>Лопатин Д.И.</v>
      </c>
    </row>
    <row r="10" customFormat="false" ht="30" hidden="false" customHeight="true" outlineLevel="0" collapsed="false">
      <c r="I10" s="20" t="str">
        <f aca="false">INDEX('Реестр рисков'!$A$9:$A$25,MATCH(5,'Реестр рисков'!$T$9:$T$25,0))&amp;". "&amp;INDEX('Реестр рисков'!$C$9:$C$25,MATCH(5,'Реестр рисков'!$T$9:$T$25,0))</f>
        <v>Р10. Разногласия по приёмке</v>
      </c>
      <c r="J10" s="21" t="n">
        <f aca="false">INDEX('Реестр рисков'!$K$9:$K$25,MATCH(5,'Реестр рисков'!$T$9:$T$25,0))</f>
        <v>12</v>
      </c>
      <c r="K10" s="21" t="str">
        <f aca="false">INDEX('Реестр рисков'!$L$9:$L$25,MATCH(5,'Реестр рисков'!$T$9:$T$25,0))</f>
        <v>Высокий</v>
      </c>
      <c r="L10" s="20" t="str">
        <f aca="false">INDEX('Реестр рисков'!$P$9:$P$25,MATCH(5,'Реестр рисков'!$T$9:$T$25,0))</f>
        <v>Сибирко И.С.</v>
      </c>
    </row>
    <row r="11" customFormat="false" ht="30" hidden="false" customHeight="true" outlineLevel="0" collapsed="false">
      <c r="I11" s="20" t="str">
        <f aca="false">INDEX('Реестр рисков'!$A$9:$A$25,MATCH(6,'Реестр рисков'!$T$9:$T$25,0))&amp;". "&amp;INDEX('Реестр рисков'!$C$9:$C$25,MATCH(6,'Реестр рисков'!$T$9:$T$25,0))</f>
        <v>Р12. Один разработчик серверной части на критической цепочке</v>
      </c>
      <c r="J11" s="21" t="n">
        <f aca="false">INDEX('Реестр рисков'!$K$9:$K$25,MATCH(6,'Реестр рисков'!$T$9:$T$25,0))</f>
        <v>12</v>
      </c>
      <c r="K11" s="21" t="str">
        <f aca="false">INDEX('Реестр рисков'!$L$9:$L$25,MATCH(6,'Реестр рисков'!$T$9:$T$25,0))</f>
        <v>Высокий</v>
      </c>
      <c r="L11" s="20" t="str">
        <f aca="false">INDEX('Реестр рисков'!$P$9:$P$25,MATCH(6,'Реестр рисков'!$T$9:$T$25,0))</f>
        <v>Горбов Н.В.</v>
      </c>
    </row>
    <row r="12" customFormat="false" ht="30" hidden="false" customHeight="true" outlineLevel="0" collapsed="false">
      <c r="A12" s="16" t="s">
        <v>246</v>
      </c>
      <c r="I12" s="20" t="str">
        <f aca="false">INDEX('Реестр рисков'!$A$9:$A$25,MATCH(7,'Реестр рисков'!$T$9:$T$25,0))&amp;". "&amp;INDEX('Реестр рисков'!$C$9:$C$25,MATCH(7,'Реестр рисков'!$T$9:$T$25,0))</f>
        <v>Р5. Срыв финальной приёмки 26.12.2026</v>
      </c>
      <c r="J12" s="21" t="n">
        <f aca="false">INDEX('Реестр рисков'!$K$9:$K$25,MATCH(7,'Реестр рисков'!$T$9:$T$25,0))</f>
        <v>10</v>
      </c>
      <c r="K12" s="21" t="str">
        <f aca="false">INDEX('Реестр рисков'!$L$9:$L$25,MATCH(7,'Реестр рисков'!$T$9:$T$25,0))</f>
        <v>Средний</v>
      </c>
      <c r="L12" s="20" t="str">
        <f aca="false">INDEX('Реестр рисков'!$P$9:$P$25,MATCH(7,'Реестр рисков'!$T$9:$T$25,0))</f>
        <v>Лопатин Д.И.</v>
      </c>
    </row>
    <row r="13" customFormat="false" ht="30" hidden="false" customHeight="true" outlineLevel="0" collapsed="false">
      <c r="A13" s="4" t="s">
        <v>17</v>
      </c>
      <c r="B13" s="4"/>
      <c r="C13" s="4" t="s">
        <v>227</v>
      </c>
      <c r="D13" s="4" t="s">
        <v>228</v>
      </c>
      <c r="E13" s="4" t="s">
        <v>229</v>
      </c>
      <c r="F13" s="4" t="s">
        <v>247</v>
      </c>
      <c r="G13" s="4" t="s">
        <v>248</v>
      </c>
      <c r="I13" s="20" t="str">
        <f aca="false">INDEX('Реестр рисков'!$A$9:$A$25,MATCH(8,'Реестр рисков'!$T$9:$T$25,0))&amp;". "&amp;INDEX('Реестр рисков'!$C$9:$C$25,MATCH(8,'Реестр рисков'!$T$9:$T$25,0))</f>
        <v>Р2. Правила совместимости и готовности кобылы получены поздно или неверно</v>
      </c>
      <c r="J13" s="21" t="n">
        <f aca="false">INDEX('Реестр рисков'!$K$9:$K$25,MATCH(8,'Реестр рисков'!$T$9:$T$25,0))</f>
        <v>9</v>
      </c>
      <c r="K13" s="21" t="str">
        <f aca="false">INDEX('Реестр рисков'!$L$9:$L$25,MATCH(8,'Реестр рисков'!$T$9:$T$25,0))</f>
        <v>Средний</v>
      </c>
      <c r="L13" s="20" t="str">
        <f aca="false">INDEX('Реестр рисков'!$P$9:$P$25,MATCH(8,'Реестр рисков'!$T$9:$T$25,0))</f>
        <v>Лопатин Д.И.</v>
      </c>
    </row>
    <row r="14" customFormat="false" ht="30" hidden="false" customHeight="true" outlineLevel="0" collapsed="false">
      <c r="A14" s="3" t="s">
        <v>37</v>
      </c>
      <c r="B14" s="3"/>
      <c r="C14" s="21" t="n">
        <f aca="false">COUNTIFS('Реестр рисков'!$B$9:$B$25,$A14,'Реестр рисков'!$L$9:$L$25,"Высокий")</f>
        <v>1</v>
      </c>
      <c r="D14" s="21" t="n">
        <f aca="false">COUNTIFS('Реестр рисков'!$B$9:$B$25,$A14,'Реестр рисков'!$L$9:$L$25,"Средний")</f>
        <v>3</v>
      </c>
      <c r="E14" s="21" t="n">
        <f aca="false">COUNTIFS('Реестр рисков'!$B$9:$B$25,$A14,'Реестр рисков'!$L$9:$L$25,"Низкий")</f>
        <v>0</v>
      </c>
      <c r="F14" s="22" t="n">
        <f aca="false">SUM(C14:E14)</f>
        <v>4</v>
      </c>
      <c r="G14" s="21" t="n">
        <f aca="false">SUMIF('Реестр рисков'!$B$9:$B$25,$A14,'Реестр рисков'!$K$9:$K$25)</f>
        <v>35</v>
      </c>
      <c r="I14" s="20" t="str">
        <f aca="false">INDEX('Реестр рисков'!$A$9:$A$25,MATCH(9,'Реестр рисков'!$T$9:$T$25,0))&amp;". "&amp;INDEX('Реестр рисков'!$C$9:$C$25,MATCH(9,'Реестр рисков'!$T$9:$T$25,0))</f>
        <v>Р6. Расширение ожиданий за границы проекта («система на вырост»)</v>
      </c>
      <c r="J14" s="21" t="n">
        <f aca="false">INDEX('Реестр рисков'!$K$9:$K$25,MATCH(9,'Реестр рисков'!$T$9:$T$25,0))</f>
        <v>9</v>
      </c>
      <c r="K14" s="21" t="str">
        <f aca="false">INDEX('Реестр рисков'!$L$9:$L$25,MATCH(9,'Реестр рисков'!$T$9:$T$25,0))</f>
        <v>Средний</v>
      </c>
      <c r="L14" s="20" t="str">
        <f aca="false">INDEX('Реестр рисков'!$P$9:$P$25,MATCH(9,'Реестр рисков'!$T$9:$T$25,0))</f>
        <v>Лопатин Д.И.</v>
      </c>
    </row>
    <row r="15" customFormat="false" ht="30" hidden="false" customHeight="true" outlineLevel="0" collapsed="false">
      <c r="A15" s="3" t="s">
        <v>52</v>
      </c>
      <c r="B15" s="3"/>
      <c r="C15" s="21" t="n">
        <f aca="false">COUNTIFS('Реестр рисков'!$B$9:$B$25,$A15,'Реестр рисков'!$L$9:$L$25,"Высокий")</f>
        <v>0</v>
      </c>
      <c r="D15" s="21" t="n">
        <f aca="false">COUNTIFS('Реестр рисков'!$B$9:$B$25,$A15,'Реестр рисков'!$L$9:$L$25,"Средний")</f>
        <v>1</v>
      </c>
      <c r="E15" s="21" t="n">
        <f aca="false">COUNTIFS('Реестр рисков'!$B$9:$B$25,$A15,'Реестр рисков'!$L$9:$L$25,"Низкий")</f>
        <v>1</v>
      </c>
      <c r="F15" s="22" t="n">
        <f aca="false">SUM(C15:E15)</f>
        <v>2</v>
      </c>
      <c r="G15" s="21" t="n">
        <f aca="false">SUMIF('Реестр рисков'!$B$9:$B$25,$A15,'Реестр рисков'!$K$9:$K$25)</f>
        <v>13</v>
      </c>
      <c r="I15" s="20" t="str">
        <f aca="false">INDEX('Реестр рисков'!$A$9:$A$25,MATCH(10,'Реестр рисков'!$T$9:$T$25,0))&amp;". "&amp;INDEX('Реестр рисков'!$C$9:$C$25,MATCH(10,'Реестр рисков'!$T$9:$T$25,0))</f>
        <v>Р13. Сложность освоения инструментов и лимиты бесплатных тарифов</v>
      </c>
      <c r="J15" s="21" t="n">
        <f aca="false">INDEX('Реестр рисков'!$K$9:$K$25,MATCH(10,'Реестр рисков'!$T$9:$T$25,0))</f>
        <v>9</v>
      </c>
      <c r="K15" s="21" t="str">
        <f aca="false">INDEX('Реестр рисков'!$L$9:$L$25,MATCH(10,'Реестр рисков'!$T$9:$T$25,0))</f>
        <v>Средний</v>
      </c>
      <c r="L15" s="20" t="str">
        <f aca="false">INDEX('Реестр рисков'!$P$9:$P$25,MATCH(10,'Реестр рисков'!$T$9:$T$25,0))</f>
        <v>Горбов Н.В.</v>
      </c>
    </row>
    <row r="16" customFormat="false" ht="30" hidden="false" customHeight="true" outlineLevel="0" collapsed="false">
      <c r="A16" s="3" t="s">
        <v>74</v>
      </c>
      <c r="B16" s="3"/>
      <c r="C16" s="21" t="n">
        <f aca="false">COUNTIFS('Реестр рисков'!$B$9:$B$25,$A16,'Реестр рисков'!$L$9:$L$25,"Высокий")</f>
        <v>0</v>
      </c>
      <c r="D16" s="21" t="n">
        <f aca="false">COUNTIFS('Реестр рисков'!$B$9:$B$25,$A16,'Реестр рисков'!$L$9:$L$25,"Средний")</f>
        <v>1</v>
      </c>
      <c r="E16" s="21" t="n">
        <f aca="false">COUNTIFS('Реестр рисков'!$B$9:$B$25,$A16,'Реестр рисков'!$L$9:$L$25,"Низкий")</f>
        <v>1</v>
      </c>
      <c r="F16" s="22" t="n">
        <f aca="false">SUM(C16:E16)</f>
        <v>2</v>
      </c>
      <c r="G16" s="21" t="n">
        <f aca="false">SUMIF('Реестр рисков'!$B$9:$B$25,$A16,'Реестр рисков'!$K$9:$K$25)</f>
        <v>10</v>
      </c>
      <c r="I16" s="20" t="str">
        <f aca="false">INDEX('Реестр рисков'!$A$9:$A$25,MATCH(11,'Реестр рисков'!$T$9:$T$25,0))&amp;". "&amp;INDEX('Реестр рисков'!$C$9:$C$25,MATCH(11,'Реестр рисков'!$T$9:$T$25,0))</f>
        <v>Р3. Недостаточно данных для справок, не определено понятие «контакт»</v>
      </c>
      <c r="J16" s="21" t="n">
        <f aca="false">INDEX('Реестр рисков'!$K$9:$K$25,MATCH(11,'Реестр рисков'!$T$9:$T$25,0))</f>
        <v>8</v>
      </c>
      <c r="K16" s="21" t="str">
        <f aca="false">INDEX('Реестр рисков'!$L$9:$L$25,MATCH(11,'Реестр рисков'!$T$9:$T$25,0))</f>
        <v>Средний</v>
      </c>
      <c r="L16" s="20" t="str">
        <f aca="false">INDEX('Реестр рисков'!$P$9:$P$25,MATCH(11,'Реестр рисков'!$T$9:$T$25,0))</f>
        <v>Паноченко В.В.</v>
      </c>
    </row>
    <row r="17" customFormat="false" ht="30" hidden="false" customHeight="true" outlineLevel="0" collapsed="false">
      <c r="A17" s="3" t="s">
        <v>86</v>
      </c>
      <c r="B17" s="3"/>
      <c r="C17" s="21" t="n">
        <f aca="false">COUNTIFS('Реестр рисков'!$B$9:$B$25,$A17,'Реестр рисков'!$L$9:$L$25,"Высокий")</f>
        <v>0</v>
      </c>
      <c r="D17" s="21" t="n">
        <f aca="false">COUNTIFS('Реестр рисков'!$B$9:$B$25,$A17,'Реестр рисков'!$L$9:$L$25,"Средний")</f>
        <v>1</v>
      </c>
      <c r="E17" s="21" t="n">
        <f aca="false">COUNTIFS('Реестр рисков'!$B$9:$B$25,$A17,'Реестр рисков'!$L$9:$L$25,"Низкий")</f>
        <v>0</v>
      </c>
      <c r="F17" s="22" t="n">
        <f aca="false">SUM(C17:E17)</f>
        <v>1</v>
      </c>
      <c r="G17" s="21" t="n">
        <f aca="false">SUMIF('Реестр рисков'!$B$9:$B$25,$A17,'Реестр рисков'!$K$9:$K$25)</f>
        <v>10</v>
      </c>
      <c r="I17" s="20" t="str">
        <f aca="false">INDEX('Реестр рисков'!$A$9:$A$25,MATCH(12,'Реестр рисков'!$T$9:$T$25,0))&amp;". "&amp;INDEX('Реестр рисков'!$C$9:$C$25,MATCH(12,'Реестр рисков'!$T$9:$T$25,0))</f>
        <v>Р15. Визуальный стиль не принят заказчиком</v>
      </c>
      <c r="J17" s="21" t="n">
        <f aca="false">INDEX('Реестр рисков'!$K$9:$K$25,MATCH(12,'Реестр рисков'!$T$9:$T$25,0))</f>
        <v>6</v>
      </c>
      <c r="K17" s="21" t="str">
        <f aca="false">INDEX('Реестр рисков'!$L$9:$L$25,MATCH(12,'Реестр рисков'!$T$9:$T$25,0))</f>
        <v>Средний</v>
      </c>
      <c r="L17" s="20" t="str">
        <f aca="false">INDEX('Реестр рисков'!$P$9:$P$25,MATCH(12,'Реестр рисков'!$T$9:$T$25,0))</f>
        <v>Кодинцев А.В.</v>
      </c>
    </row>
    <row r="18" customFormat="false" ht="30" hidden="false" customHeight="true" outlineLevel="0" collapsed="false">
      <c r="A18" s="3" t="s">
        <v>108</v>
      </c>
      <c r="B18" s="3"/>
      <c r="C18" s="21" t="n">
        <f aca="false">COUNTIFS('Реестр рисков'!$B$9:$B$25,$A18,'Реестр рисков'!$L$9:$L$25,"Высокий")</f>
        <v>2</v>
      </c>
      <c r="D18" s="21" t="n">
        <f aca="false">COUNTIFS('Реестр рисков'!$B$9:$B$25,$A18,'Реестр рисков'!$L$9:$L$25,"Средний")</f>
        <v>0</v>
      </c>
      <c r="E18" s="21" t="n">
        <f aca="false">COUNTIFS('Реестр рисков'!$B$9:$B$25,$A18,'Реестр рисков'!$L$9:$L$25,"Низкий")</f>
        <v>0</v>
      </c>
      <c r="F18" s="22" t="n">
        <f aca="false">SUM(C18:E18)</f>
        <v>2</v>
      </c>
      <c r="G18" s="21" t="n">
        <f aca="false">SUMIF('Реестр рисков'!$B$9:$B$25,$A18,'Реестр рисков'!$K$9:$K$25)</f>
        <v>28</v>
      </c>
      <c r="I18" s="20" t="str">
        <f aca="false">INDEX('Реестр рисков'!$A$9:$A$25,MATCH(13,'Реестр рисков'!$T$9:$T$25,0))&amp;". "&amp;INDEX('Реестр рисков'!$C$9:$C$25,MATCH(13,'Реестр рисков'!$T$9:$T$25,0))</f>
        <v>Р16. Регулятор меняет или ужесточает требования к справкам</v>
      </c>
      <c r="J18" s="21" t="n">
        <f aca="false">INDEX('Реестр рисков'!$K$9:$K$25,MATCH(13,'Реестр рисков'!$T$9:$T$25,0))</f>
        <v>6</v>
      </c>
      <c r="K18" s="21" t="str">
        <f aca="false">INDEX('Реестр рисков'!$L$9:$L$25,MATCH(13,'Реестр рисков'!$T$9:$T$25,0))</f>
        <v>Средний</v>
      </c>
      <c r="L18" s="20" t="str">
        <f aca="false">INDEX('Реестр рисков'!$P$9:$P$25,MATCH(13,'Реестр рисков'!$T$9:$T$25,0))</f>
        <v>Паноченко В.В.</v>
      </c>
    </row>
    <row r="19" customFormat="false" ht="30" hidden="false" customHeight="true" outlineLevel="0" collapsed="false">
      <c r="A19" s="3" t="s">
        <v>119</v>
      </c>
      <c r="B19" s="3"/>
      <c r="C19" s="21" t="n">
        <f aca="false">COUNTIFS('Реестр рисков'!$B$9:$B$25,$A19,'Реестр рисков'!$L$9:$L$25,"Высокий")</f>
        <v>1</v>
      </c>
      <c r="D19" s="21" t="n">
        <f aca="false">COUNTIFS('Реестр рисков'!$B$9:$B$25,$A19,'Реестр рисков'!$L$9:$L$25,"Средний")</f>
        <v>0</v>
      </c>
      <c r="E19" s="21" t="n">
        <f aca="false">COUNTIFS('Реестр рисков'!$B$9:$B$25,$A19,'Реестр рисков'!$L$9:$L$25,"Низкий")</f>
        <v>0</v>
      </c>
      <c r="F19" s="22" t="n">
        <f aca="false">SUM(C19:E19)</f>
        <v>1</v>
      </c>
      <c r="G19" s="21" t="n">
        <f aca="false">SUMIF('Реестр рисков'!$B$9:$B$25,$A19,'Реестр рисков'!$K$9:$K$25)</f>
        <v>12</v>
      </c>
      <c r="I19" s="20" t="str">
        <f aca="false">INDEX('Реестр рисков'!$A$9:$A$25,MATCH(14,'Реестр рисков'!$T$9:$T$25,0))&amp;". "&amp;INDEX('Реестр рисков'!$C$9:$C$25,MATCH(14,'Реестр рисков'!$T$9:$T$25,0))</f>
        <v>Р4. Поля реестра не соответствуют требованиям породной ассоциации и учёта поголовья</v>
      </c>
      <c r="J19" s="21" t="n">
        <f aca="false">INDEX('Реестр рисков'!$K$9:$K$25,MATCH(14,'Реестр рисков'!$T$9:$T$25,0))</f>
        <v>4</v>
      </c>
      <c r="K19" s="21" t="str">
        <f aca="false">INDEX('Реестр рисков'!$L$9:$L$25,MATCH(14,'Реестр рисков'!$T$9:$T$25,0))</f>
        <v>Низкий</v>
      </c>
      <c r="L19" s="20" t="str">
        <f aca="false">INDEX('Реестр рисков'!$P$9:$P$25,MATCH(14,'Реестр рисков'!$T$9:$T$25,0))</f>
        <v>Паноченко В.В.</v>
      </c>
    </row>
    <row r="20" customFormat="false" ht="30" hidden="false" customHeight="true" outlineLevel="0" collapsed="false">
      <c r="A20" s="3" t="s">
        <v>141</v>
      </c>
      <c r="B20" s="3"/>
      <c r="C20" s="21" t="n">
        <f aca="false">COUNTIFS('Реестр рисков'!$B$9:$B$25,$A20,'Реестр рисков'!$L$9:$L$25,"Высокий")</f>
        <v>2</v>
      </c>
      <c r="D20" s="21" t="n">
        <f aca="false">COUNTIFS('Реестр рисков'!$B$9:$B$25,$A20,'Реестр рисков'!$L$9:$L$25,"Средний")</f>
        <v>0</v>
      </c>
      <c r="E20" s="21" t="n">
        <f aca="false">COUNTIFS('Реестр рисков'!$B$9:$B$25,$A20,'Реестр рисков'!$L$9:$L$25,"Низкий")</f>
        <v>0</v>
      </c>
      <c r="F20" s="22" t="n">
        <f aca="false">SUM(C20:E20)</f>
        <v>2</v>
      </c>
      <c r="G20" s="21" t="n">
        <f aca="false">SUMIF('Реестр рисков'!$B$9:$B$25,$A20,'Реестр рисков'!$K$9:$K$25)</f>
        <v>27</v>
      </c>
      <c r="I20" s="20" t="str">
        <f aca="false">INDEX('Реестр рисков'!$A$9:$A$25,MATCH(15,'Реестр рисков'!$T$9:$T$25,0))&amp;". "&amp;INDEX('Реестр рисков'!$C$9:$C$25,MATCH(15,'Реестр рисков'!$T$9:$T$25,0))</f>
        <v>Р9. Задержка или пропуски данных ветеринара</v>
      </c>
      <c r="J20" s="21" t="n">
        <f aca="false">INDEX('Реестр рисков'!$K$9:$K$25,MATCH(15,'Реестр рисков'!$T$9:$T$25,0))</f>
        <v>4</v>
      </c>
      <c r="K20" s="21" t="str">
        <f aca="false">INDEX('Реестр рисков'!$L$9:$L$25,MATCH(15,'Реестр рисков'!$T$9:$T$25,0))</f>
        <v>Низкий</v>
      </c>
      <c r="L20" s="20" t="str">
        <f aca="false">INDEX('Реестр рисков'!$P$9:$P$25,MATCH(15,'Реестр рисков'!$T$9:$T$25,0))</f>
        <v>Паноченко В.В.</v>
      </c>
    </row>
    <row r="21" customFormat="false" ht="30" hidden="false" customHeight="true" outlineLevel="0" collapsed="false">
      <c r="A21" s="3" t="s">
        <v>175</v>
      </c>
      <c r="B21" s="3"/>
      <c r="C21" s="21" t="n">
        <f aca="false">COUNTIFS('Реестр рисков'!$B$9:$B$25,$A21,'Реестр рисков'!$L$9:$L$25,"Высокий")</f>
        <v>0</v>
      </c>
      <c r="D21" s="21" t="n">
        <f aca="false">COUNTIFS('Реестр рисков'!$B$9:$B$25,$A21,'Реестр рисков'!$L$9:$L$25,"Средний")</f>
        <v>1</v>
      </c>
      <c r="E21" s="21" t="n">
        <f aca="false">COUNTIFS('Реестр рисков'!$B$9:$B$25,$A21,'Реестр рисков'!$L$9:$L$25,"Низкий")</f>
        <v>1</v>
      </c>
      <c r="F21" s="22" t="n">
        <f aca="false">SUM(C21:E21)</f>
        <v>2</v>
      </c>
      <c r="G21" s="21" t="n">
        <f aca="false">SUMIF('Реестр рисков'!$B$9:$B$25,$A21,'Реестр рисков'!$K$9:$K$25)</f>
        <v>13</v>
      </c>
      <c r="I21" s="20" t="str">
        <f aca="false">INDEX('Реестр рисков'!$A$9:$A$25,MATCH(16,'Реестр рисков'!$T$9:$T$25,0))&amp;". "&amp;INDEX('Реестр рисков'!$C$9:$C$25,MATCH(16,'Реестр рисков'!$T$9:$T$25,0))</f>
        <v>Р14. Потеря данных или недоступность репозитория и демостенда</v>
      </c>
      <c r="J21" s="21" t="n">
        <f aca="false">INDEX('Реестр рисков'!$K$9:$K$25,MATCH(16,'Реестр рисков'!$T$9:$T$25,0))</f>
        <v>4</v>
      </c>
      <c r="K21" s="21" t="str">
        <f aca="false">INDEX('Реестр рисков'!$L$9:$L$25,MATCH(16,'Реестр рисков'!$T$9:$T$25,0))</f>
        <v>Низкий</v>
      </c>
      <c r="L21" s="20" t="str">
        <f aca="false">INDEX('Реестр рисков'!$P$9:$P$25,MATCH(16,'Реестр рисков'!$T$9:$T$25,0))</f>
        <v>Шунулин Р.А.</v>
      </c>
    </row>
    <row r="22" customFormat="false" ht="30" hidden="false" customHeight="true" outlineLevel="0" collapsed="false">
      <c r="A22" s="3" t="s">
        <v>215</v>
      </c>
      <c r="B22" s="3"/>
      <c r="C22" s="21" t="n">
        <f aca="false">COUNTIFS('Реестр рисков'!$B$9:$B$25,$A22,'Реестр рисков'!$L$9:$L$25,"Высокий")</f>
        <v>0</v>
      </c>
      <c r="D22" s="21" t="n">
        <f aca="false">COUNTIFS('Реестр рисков'!$B$9:$B$25,$A22,'Реестр рисков'!$L$9:$L$25,"Средний")</f>
        <v>0</v>
      </c>
      <c r="E22" s="21" t="n">
        <f aca="false">COUNTIFS('Реестр рисков'!$B$9:$B$25,$A22,'Реестр рисков'!$L$9:$L$25,"Низкий")</f>
        <v>1</v>
      </c>
      <c r="F22" s="22" t="n">
        <f aca="false">SUM(C22:E22)</f>
        <v>1</v>
      </c>
      <c r="G22" s="21" t="n">
        <f aca="false">SUMIF('Реестр рисков'!$B$9:$B$25,$A22,'Реестр рисков'!$K$9:$K$25)</f>
        <v>4</v>
      </c>
      <c r="I22" s="20" t="str">
        <f aca="false">INDEX('Реестр рисков'!$A$9:$A$25,MATCH(17,'Реестр рисков'!$T$9:$T$25,0))&amp;". "&amp;INDEX('Реестр рисков'!$C$9:$C$25,MATCH(17,'Реестр рисков'!$T$9:$T$25,0))</f>
        <v>Р17. Конкуренты запускают удобную онлайн-запись</v>
      </c>
      <c r="J22" s="21" t="n">
        <f aca="false">INDEX('Реестр рисков'!$K$9:$K$25,MATCH(17,'Реестр рисков'!$T$9:$T$25,0))</f>
        <v>4</v>
      </c>
      <c r="K22" s="21" t="str">
        <f aca="false">INDEX('Реестр рисков'!$L$9:$L$25,MATCH(17,'Реестр рисков'!$T$9:$T$25,0))</f>
        <v>Низкий</v>
      </c>
      <c r="L22" s="20" t="str">
        <f aca="false">INDEX('Реестр рисков'!$P$9:$P$25,MATCH(17,'Реестр рисков'!$T$9:$T$25,0))</f>
        <v>Нгуен Д.В.</v>
      </c>
    </row>
    <row r="23" customFormat="false" ht="15" hidden="false" customHeight="true" outlineLevel="0" collapsed="false">
      <c r="A23" s="2" t="s">
        <v>249</v>
      </c>
      <c r="B23" s="2"/>
      <c r="C23" s="23" t="n">
        <f aca="false">SUM(C14:C22)</f>
        <v>6</v>
      </c>
      <c r="D23" s="23" t="n">
        <f aca="false">SUM(D14:D22)</f>
        <v>7</v>
      </c>
      <c r="E23" s="23" t="n">
        <f aca="false">SUM(E14:E22)</f>
        <v>4</v>
      </c>
      <c r="F23" s="23" t="n">
        <f aca="false">SUM(F14:F22)</f>
        <v>17</v>
      </c>
      <c r="G23" s="23" t="n">
        <f aca="false">SUM(G14:G22)</f>
        <v>152</v>
      </c>
    </row>
  </sheetData>
  <mergeCells count="13">
    <mergeCell ref="A2:G2"/>
    <mergeCell ref="A4:B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conditionalFormatting sqref="J6:K22">
    <cfRule type="expression" priority="2" aboveAverage="0" equalAverage="0" bottom="0" percent="0" rank="0" text="" dxfId="6">
      <formula>$K6="Высокий"</formula>
    </cfRule>
    <cfRule type="expression" priority="3" aboveAverage="0" equalAverage="0" bottom="0" percent="0" rank="0" text="" dxfId="7">
      <formula>$K6="Средний"</formula>
    </cfRule>
    <cfRule type="expression" priority="4" aboveAverage="0" equalAverage="0" bottom="0" percent="0" rank="0" text="" dxfId="8">
      <formula>$K6="Низкий"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250</v>
      </c>
    </row>
    <row r="2" customFormat="false" ht="31.5" hidden="false" customHeight="true" outlineLevel="0" collapsed="false">
      <c r="A2" s="15" t="s">
        <v>251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true" outlineLevel="0" collapsed="false">
      <c r="A4" s="2" t="s">
        <v>252</v>
      </c>
      <c r="B4" s="2"/>
      <c r="C4" s="24" t="n">
        <v>55</v>
      </c>
      <c r="D4" s="25" t="s">
        <v>253</v>
      </c>
      <c r="E4" s="25"/>
      <c r="F4" s="25"/>
    </row>
    <row r="6" customFormat="false" ht="45.75" hidden="false" customHeight="true" outlineLevel="0" collapsed="false">
      <c r="A6" s="4" t="s">
        <v>16</v>
      </c>
      <c r="B6" s="4" t="s">
        <v>18</v>
      </c>
      <c r="C6" s="4" t="s">
        <v>254</v>
      </c>
      <c r="D6" s="4" t="s">
        <v>255</v>
      </c>
      <c r="E6" s="4" t="s">
        <v>256</v>
      </c>
      <c r="F6" s="4" t="s">
        <v>257</v>
      </c>
      <c r="G6" s="4" t="s">
        <v>258</v>
      </c>
      <c r="H6" s="4" t="s">
        <v>259</v>
      </c>
      <c r="I6" s="4" t="s">
        <v>260</v>
      </c>
    </row>
    <row r="7" customFormat="false" ht="31.5" hidden="false" customHeight="true" outlineLevel="0" collapsed="false">
      <c r="A7" s="5" t="str">
        <f aca="false">'Реестр рисков'!A9</f>
        <v>Р1</v>
      </c>
      <c r="B7" s="3" t="str">
        <f aca="false">'Реестр рисков'!C9</f>
        <v>Неполные и меняющиеся требования</v>
      </c>
      <c r="C7" s="7" t="n">
        <f aca="false">'Реестр рисков'!I9</f>
        <v>4</v>
      </c>
      <c r="D7" s="26" t="n">
        <f aca="false">INDEX(Методика!$D$5:$D$9,C7)</f>
        <v>0.6</v>
      </c>
      <c r="E7" s="27" t="n">
        <v>30</v>
      </c>
      <c r="F7" s="3" t="s">
        <v>261</v>
      </c>
      <c r="G7" s="28" t="n">
        <f aca="false">D7*E7</f>
        <v>18</v>
      </c>
      <c r="H7" s="29" t="n">
        <f aca="false">G7*$C$4</f>
        <v>990</v>
      </c>
      <c r="I7" s="8" t="s">
        <v>262</v>
      </c>
    </row>
    <row r="8" customFormat="false" ht="31.5" hidden="false" customHeight="true" outlineLevel="0" collapsed="false">
      <c r="A8" s="5" t="str">
        <f aca="false">'Реестр рисков'!A10</f>
        <v>Р2</v>
      </c>
      <c r="B8" s="3" t="str">
        <f aca="false">'Реестр рисков'!C10</f>
        <v>Правила совместимости и готовности кобылы получены поздно или неверно</v>
      </c>
      <c r="C8" s="7" t="n">
        <f aca="false">'Реестр рисков'!I10</f>
        <v>3</v>
      </c>
      <c r="D8" s="26" t="n">
        <f aca="false">INDEX(Методика!$D$5:$D$9,C8)</f>
        <v>0.4</v>
      </c>
      <c r="E8" s="27" t="n">
        <v>20</v>
      </c>
      <c r="F8" s="3" t="s">
        <v>263</v>
      </c>
      <c r="G8" s="28" t="n">
        <f aca="false">D8*E8</f>
        <v>8</v>
      </c>
      <c r="H8" s="29" t="n">
        <f aca="false">G8*$C$4</f>
        <v>440</v>
      </c>
      <c r="I8" s="8" t="s">
        <v>262</v>
      </c>
    </row>
    <row r="9" customFormat="false" ht="31.5" hidden="false" customHeight="true" outlineLevel="0" collapsed="false">
      <c r="A9" s="5" t="str">
        <f aca="false">'Реестр рисков'!A11</f>
        <v>Р3</v>
      </c>
      <c r="B9" s="3" t="str">
        <f aca="false">'Реестр рисков'!C11</f>
        <v>Недостаточно данных для справок, не определено понятие «контакт»</v>
      </c>
      <c r="C9" s="7" t="n">
        <f aca="false">'Реестр рисков'!I11</f>
        <v>2</v>
      </c>
      <c r="D9" s="26" t="n">
        <f aca="false">INDEX(Методика!$D$5:$D$9,C9)</f>
        <v>0.2</v>
      </c>
      <c r="E9" s="27" t="n">
        <v>40</v>
      </c>
      <c r="F9" s="3" t="s">
        <v>264</v>
      </c>
      <c r="G9" s="28" t="n">
        <f aca="false">D9*E9</f>
        <v>8</v>
      </c>
      <c r="H9" s="29" t="n">
        <f aca="false">G9*$C$4</f>
        <v>440</v>
      </c>
      <c r="I9" s="8" t="s">
        <v>262</v>
      </c>
    </row>
    <row r="10" customFormat="false" ht="31.5" hidden="false" customHeight="true" outlineLevel="0" collapsed="false">
      <c r="A10" s="5" t="str">
        <f aca="false">'Реестр рисков'!A12</f>
        <v>Р4</v>
      </c>
      <c r="B10" s="3" t="str">
        <f aca="false">'Реестр рисков'!C12</f>
        <v>Поля реестра не соответствуют требованиям породной ассоциации и учёта поголовья</v>
      </c>
      <c r="C10" s="7" t="n">
        <f aca="false">'Реестр рисков'!I12</f>
        <v>2</v>
      </c>
      <c r="D10" s="26" t="n">
        <f aca="false">INDEX(Методика!$D$5:$D$9,C10)</f>
        <v>0.2</v>
      </c>
      <c r="E10" s="27" t="n">
        <v>10</v>
      </c>
      <c r="F10" s="3" t="s">
        <v>265</v>
      </c>
      <c r="G10" s="28" t="n">
        <f aca="false">D10*E10</f>
        <v>2</v>
      </c>
      <c r="H10" s="29" t="n">
        <f aca="false">G10*$C$4</f>
        <v>110</v>
      </c>
      <c r="I10" s="8" t="s">
        <v>262</v>
      </c>
    </row>
    <row r="11" customFormat="false" ht="31.5" hidden="false" customHeight="true" outlineLevel="0" collapsed="false">
      <c r="A11" s="5" t="str">
        <f aca="false">'Реестр рисков'!A13</f>
        <v>Р5</v>
      </c>
      <c r="B11" s="3" t="str">
        <f aca="false">'Реестр рисков'!C13</f>
        <v>Срыв финальной приёмки 26.12.2026</v>
      </c>
      <c r="C11" s="7" t="n">
        <f aca="false">'Реестр рисков'!I13</f>
        <v>2</v>
      </c>
      <c r="D11" s="26" t="n">
        <f aca="false">INDEX(Методика!$D$5:$D$9,C11)</f>
        <v>0.2</v>
      </c>
      <c r="E11" s="27" t="n">
        <v>40</v>
      </c>
      <c r="F11" s="3" t="s">
        <v>266</v>
      </c>
      <c r="G11" s="28" t="n">
        <f aca="false">D11*E11</f>
        <v>8</v>
      </c>
      <c r="H11" s="29" t="n">
        <f aca="false">G11*$C$4</f>
        <v>440</v>
      </c>
      <c r="I11" s="8" t="s">
        <v>262</v>
      </c>
    </row>
    <row r="12" customFormat="false" ht="31.5" hidden="false" customHeight="true" outlineLevel="0" collapsed="false">
      <c r="A12" s="5" t="str">
        <f aca="false">'Реестр рисков'!A14</f>
        <v>Р6</v>
      </c>
      <c r="B12" s="3" t="str">
        <f aca="false">'Реестр рисков'!C14</f>
        <v>Расширение ожиданий за границы проекта («система на вырост»)</v>
      </c>
      <c r="C12" s="7" t="n">
        <f aca="false">'Реестр рисков'!I14</f>
        <v>3</v>
      </c>
      <c r="D12" s="26" t="n">
        <f aca="false">INDEX(Методика!$D$5:$D$9,C12)</f>
        <v>0.4</v>
      </c>
      <c r="E12" s="27" t="n">
        <v>16</v>
      </c>
      <c r="F12" s="3" t="s">
        <v>267</v>
      </c>
      <c r="G12" s="28" t="n">
        <f aca="false">D12*E12</f>
        <v>6.4</v>
      </c>
      <c r="H12" s="29" t="n">
        <f aca="false">G12*$C$4</f>
        <v>352</v>
      </c>
      <c r="I12" s="8" t="s">
        <v>262</v>
      </c>
    </row>
    <row r="13" customFormat="false" ht="31.5" hidden="false" customHeight="true" outlineLevel="0" collapsed="false">
      <c r="A13" s="5" t="str">
        <f aca="false">'Реестр рисков'!A15</f>
        <v>Р7</v>
      </c>
      <c r="B13" s="3" t="str">
        <f aca="false">'Реестр рисков'!C15</f>
        <v>Нехватка времени участников из-за учёбы</v>
      </c>
      <c r="C13" s="7" t="n">
        <f aca="false">'Реестр рисков'!I15</f>
        <v>4</v>
      </c>
      <c r="D13" s="26" t="n">
        <f aca="false">INDEX(Методика!$D$5:$D$9,C13)</f>
        <v>0.6</v>
      </c>
      <c r="E13" s="27" t="n">
        <v>40</v>
      </c>
      <c r="F13" s="3" t="s">
        <v>268</v>
      </c>
      <c r="G13" s="28" t="n">
        <f aca="false">D13*E13</f>
        <v>24</v>
      </c>
      <c r="H13" s="29" t="n">
        <f aca="false">G13*$C$4</f>
        <v>1320</v>
      </c>
      <c r="I13" s="8" t="s">
        <v>262</v>
      </c>
    </row>
    <row r="14" customFormat="false" ht="31.5" hidden="false" customHeight="true" outlineLevel="0" collapsed="false">
      <c r="A14" s="5" t="str">
        <f aca="false">'Реестр рисков'!A16</f>
        <v>Р8</v>
      </c>
      <c r="B14" s="3" t="str">
        <f aca="false">'Реестр рисков'!C16</f>
        <v>Превышение плановой трудоёмкости и стоимости</v>
      </c>
      <c r="C14" s="7" t="n">
        <f aca="false">'Реестр рисков'!I16</f>
        <v>3</v>
      </c>
      <c r="D14" s="26" t="n">
        <f aca="false">INDEX(Методика!$D$5:$D$9,C14)</f>
        <v>0.4</v>
      </c>
      <c r="E14" s="27" t="n">
        <v>55</v>
      </c>
      <c r="F14" s="3" t="s">
        <v>269</v>
      </c>
      <c r="G14" s="28" t="n">
        <f aca="false">D14*E14</f>
        <v>22</v>
      </c>
      <c r="H14" s="29" t="n">
        <f aca="false">G14*$C$4</f>
        <v>1210</v>
      </c>
      <c r="I14" s="8" t="s">
        <v>262</v>
      </c>
    </row>
    <row r="15" customFormat="false" ht="31.5" hidden="false" customHeight="true" outlineLevel="0" collapsed="false">
      <c r="A15" s="5" t="str">
        <f aca="false">'Реестр рисков'!A17</f>
        <v>Р9</v>
      </c>
      <c r="B15" s="3" t="str">
        <f aca="false">'Реестр рисков'!C17</f>
        <v>Задержка или пропуски данных ветеринара</v>
      </c>
      <c r="C15" s="7" t="n">
        <f aca="false">'Реестр рисков'!I17</f>
        <v>2</v>
      </c>
      <c r="D15" s="26" t="n">
        <f aca="false">INDEX(Методика!$D$5:$D$9,C15)</f>
        <v>0.2</v>
      </c>
      <c r="E15" s="27" t="n">
        <v>8</v>
      </c>
      <c r="F15" s="3" t="s">
        <v>270</v>
      </c>
      <c r="G15" s="28" t="n">
        <f aca="false">D15*E15</f>
        <v>1.6</v>
      </c>
      <c r="H15" s="29" t="n">
        <f aca="false">G15*$C$4</f>
        <v>88</v>
      </c>
      <c r="I15" s="8" t="s">
        <v>262</v>
      </c>
    </row>
    <row r="16" customFormat="false" ht="31.5" hidden="false" customHeight="true" outlineLevel="0" collapsed="false">
      <c r="A16" s="5" t="str">
        <f aca="false">'Реестр рисков'!A18</f>
        <v>Р10</v>
      </c>
      <c r="B16" s="3" t="str">
        <f aca="false">'Реестр рисков'!C18</f>
        <v>Разногласия по приёмке</v>
      </c>
      <c r="C16" s="7" t="n">
        <f aca="false">'Реестр рисков'!I18</f>
        <v>3</v>
      </c>
      <c r="D16" s="26" t="n">
        <f aca="false">INDEX(Методика!$D$5:$D$9,C16)</f>
        <v>0.4</v>
      </c>
      <c r="E16" s="27" t="n">
        <v>16</v>
      </c>
      <c r="F16" s="3" t="s">
        <v>271</v>
      </c>
      <c r="G16" s="28" t="n">
        <f aca="false">D16*E16</f>
        <v>6.4</v>
      </c>
      <c r="H16" s="29" t="n">
        <f aca="false">G16*$C$4</f>
        <v>352</v>
      </c>
      <c r="I16" s="8" t="s">
        <v>262</v>
      </c>
    </row>
    <row r="17" customFormat="false" ht="31.5" hidden="false" customHeight="true" outlineLevel="0" collapsed="false">
      <c r="A17" s="5" t="str">
        <f aca="false">'Реестр рисков'!A19</f>
        <v>Р11</v>
      </c>
      <c r="B17" s="3" t="str">
        <f aca="false">'Реестр рисков'!C19</f>
        <v>Запрос на изменение № 1 не согласован</v>
      </c>
      <c r="C17" s="7" t="n">
        <f aca="false">'Реестр рисков'!I19</f>
        <v>3</v>
      </c>
      <c r="D17" s="26" t="n">
        <f aca="false">INDEX(Методика!$D$5:$D$9,C17)</f>
        <v>0.4</v>
      </c>
      <c r="E17" s="27" t="n">
        <v>71</v>
      </c>
      <c r="F17" s="3" t="s">
        <v>272</v>
      </c>
      <c r="G17" s="28" t="n">
        <f aca="false">D17*E17</f>
        <v>28.4</v>
      </c>
      <c r="H17" s="29" t="n">
        <f aca="false">G17*$C$4</f>
        <v>1562</v>
      </c>
      <c r="I17" s="8" t="s">
        <v>273</v>
      </c>
    </row>
    <row r="18" customFormat="false" ht="31.5" hidden="false" customHeight="true" outlineLevel="0" collapsed="false">
      <c r="A18" s="5" t="str">
        <f aca="false">'Реестр рисков'!A20</f>
        <v>Р12</v>
      </c>
      <c r="B18" s="3" t="str">
        <f aca="false">'Реестр рисков'!C20</f>
        <v>Один разработчик серверной части на критической цепочке</v>
      </c>
      <c r="C18" s="7" t="n">
        <f aca="false">'Реестр рисков'!I20</f>
        <v>3</v>
      </c>
      <c r="D18" s="26" t="n">
        <f aca="false">INDEX(Методика!$D$5:$D$9,C18)</f>
        <v>0.4</v>
      </c>
      <c r="E18" s="27" t="n">
        <v>40</v>
      </c>
      <c r="F18" s="3" t="s">
        <v>274</v>
      </c>
      <c r="G18" s="28" t="n">
        <f aca="false">D18*E18</f>
        <v>16</v>
      </c>
      <c r="H18" s="29" t="n">
        <f aca="false">G18*$C$4</f>
        <v>880</v>
      </c>
      <c r="I18" s="8" t="s">
        <v>262</v>
      </c>
    </row>
    <row r="19" customFormat="false" ht="31.5" hidden="false" customHeight="true" outlineLevel="0" collapsed="false">
      <c r="A19" s="5" t="str">
        <f aca="false">'Реестр рисков'!A21</f>
        <v>Р13</v>
      </c>
      <c r="B19" s="3" t="str">
        <f aca="false">'Реестр рисков'!C21</f>
        <v>Сложность освоения инструментов и лимиты бесплатных тарифов</v>
      </c>
      <c r="C19" s="7" t="n">
        <f aca="false">'Реестр рисков'!I21</f>
        <v>3</v>
      </c>
      <c r="D19" s="26" t="n">
        <f aca="false">INDEX(Методика!$D$5:$D$9,C19)</f>
        <v>0.4</v>
      </c>
      <c r="E19" s="27" t="n">
        <v>26</v>
      </c>
      <c r="F19" s="3" t="s">
        <v>275</v>
      </c>
      <c r="G19" s="28" t="n">
        <f aca="false">D19*E19</f>
        <v>10.4</v>
      </c>
      <c r="H19" s="29" t="n">
        <f aca="false">G19*$C$4</f>
        <v>572</v>
      </c>
      <c r="I19" s="8" t="s">
        <v>262</v>
      </c>
    </row>
    <row r="20" customFormat="false" ht="31.5" hidden="false" customHeight="true" outlineLevel="0" collapsed="false">
      <c r="A20" s="5" t="str">
        <f aca="false">'Реестр рисков'!A22</f>
        <v>Р14</v>
      </c>
      <c r="B20" s="3" t="str">
        <f aca="false">'Реестр рисков'!C22</f>
        <v>Потеря данных или недоступность репозитория и демостенда</v>
      </c>
      <c r="C20" s="7" t="n">
        <f aca="false">'Реестр рисков'!I22</f>
        <v>1</v>
      </c>
      <c r="D20" s="26" t="n">
        <f aca="false">INDEX(Методика!$D$5:$D$9,C20)</f>
        <v>0.05</v>
      </c>
      <c r="E20" s="27" t="n">
        <v>24</v>
      </c>
      <c r="F20" s="3" t="s">
        <v>276</v>
      </c>
      <c r="G20" s="28" t="n">
        <f aca="false">D20*E20</f>
        <v>1.2</v>
      </c>
      <c r="H20" s="29" t="n">
        <f aca="false">G20*$C$4</f>
        <v>66</v>
      </c>
      <c r="I20" s="8" t="s">
        <v>262</v>
      </c>
    </row>
    <row r="21" customFormat="false" ht="31.5" hidden="false" customHeight="true" outlineLevel="0" collapsed="false">
      <c r="A21" s="5" t="str">
        <f aca="false">'Реестр рисков'!A23</f>
        <v>Р15</v>
      </c>
      <c r="B21" s="3" t="str">
        <f aca="false">'Реестр рисков'!C23</f>
        <v>Визуальный стиль не принят заказчиком</v>
      </c>
      <c r="C21" s="7" t="n">
        <f aca="false">'Реестр рисков'!I23</f>
        <v>2</v>
      </c>
      <c r="D21" s="26" t="n">
        <f aca="false">INDEX(Методика!$D$5:$D$9,C21)</f>
        <v>0.2</v>
      </c>
      <c r="E21" s="27" t="n">
        <v>12</v>
      </c>
      <c r="F21" s="3" t="s">
        <v>277</v>
      </c>
      <c r="G21" s="28" t="n">
        <f aca="false">D21*E21</f>
        <v>2.4</v>
      </c>
      <c r="H21" s="29" t="n">
        <f aca="false">G21*$C$4</f>
        <v>132</v>
      </c>
      <c r="I21" s="8" t="s">
        <v>262</v>
      </c>
    </row>
    <row r="22" customFormat="false" ht="31.5" hidden="false" customHeight="true" outlineLevel="0" collapsed="false">
      <c r="A22" s="5" t="str">
        <f aca="false">'Реестр рисков'!A24</f>
        <v>Р16</v>
      </c>
      <c r="B22" s="3" t="str">
        <f aca="false">'Реестр рисков'!C24</f>
        <v>Регулятор меняет или ужесточает требования к справкам</v>
      </c>
      <c r="C22" s="7" t="n">
        <f aca="false">'Реестр рисков'!I24</f>
        <v>2</v>
      </c>
      <c r="D22" s="26" t="n">
        <f aca="false">INDEX(Методика!$D$5:$D$9,C22)</f>
        <v>0.2</v>
      </c>
      <c r="E22" s="27" t="n">
        <v>16</v>
      </c>
      <c r="F22" s="3" t="s">
        <v>278</v>
      </c>
      <c r="G22" s="28" t="n">
        <f aca="false">D22*E22</f>
        <v>3.2</v>
      </c>
      <c r="H22" s="29" t="n">
        <f aca="false">G22*$C$4</f>
        <v>176</v>
      </c>
      <c r="I22" s="8" t="s">
        <v>262</v>
      </c>
    </row>
    <row r="23" customFormat="false" ht="31.5" hidden="false" customHeight="true" outlineLevel="0" collapsed="false">
      <c r="A23" s="5" t="str">
        <f aca="false">'Реестр рисков'!A25</f>
        <v>Р17</v>
      </c>
      <c r="B23" s="3" t="str">
        <f aca="false">'Реестр рисков'!C25</f>
        <v>Конкуренты запускают удобную онлайн-запись</v>
      </c>
      <c r="C23" s="7" t="n">
        <f aca="false">'Реестр рисков'!I25</f>
        <v>2</v>
      </c>
      <c r="D23" s="26" t="n">
        <f aca="false">INDEX(Методика!$D$5:$D$9,C23)</f>
        <v>0.2</v>
      </c>
      <c r="E23" s="27" t="n">
        <v>17</v>
      </c>
      <c r="F23" s="3" t="s">
        <v>279</v>
      </c>
      <c r="G23" s="28" t="n">
        <f aca="false">D23*E23</f>
        <v>3.4</v>
      </c>
      <c r="H23" s="29" t="n">
        <f aca="false">G23*$C$4</f>
        <v>187</v>
      </c>
      <c r="I23" s="8" t="s">
        <v>262</v>
      </c>
    </row>
    <row r="24" customFormat="false" ht="15" hidden="false" customHeight="false" outlineLevel="0" collapsed="false">
      <c r="A24" s="2" t="s">
        <v>249</v>
      </c>
      <c r="B24" s="30"/>
      <c r="C24" s="30"/>
      <c r="D24" s="30"/>
      <c r="E24" s="31" t="n">
        <f aca="false">SUM(E7:E23)</f>
        <v>481</v>
      </c>
      <c r="F24" s="30"/>
      <c r="G24" s="32" t="n">
        <f aca="false">SUM(G7:G23)</f>
        <v>169.4</v>
      </c>
      <c r="H24" s="33" t="n">
        <f aca="false">SUM(H7:H23)</f>
        <v>9317</v>
      </c>
      <c r="I24" s="30"/>
    </row>
    <row r="25" customFormat="false" ht="68.65" hidden="false" customHeight="false" outlineLevel="0" collapsed="false">
      <c r="A25" s="2" t="s">
        <v>280</v>
      </c>
      <c r="B25" s="30"/>
      <c r="C25" s="30"/>
      <c r="D25" s="30"/>
      <c r="E25" s="30"/>
      <c r="F25" s="30"/>
      <c r="G25" s="32" t="n">
        <f aca="false">SUMIF(I7:I23,"да",G7:G23)</f>
        <v>141</v>
      </c>
      <c r="H25" s="33" t="n">
        <f aca="false">SUMIF(I7:I23,"да",H7:H23)</f>
        <v>7755</v>
      </c>
      <c r="I25" s="30"/>
    </row>
    <row r="26" customFormat="false" ht="31.5" hidden="false" customHeight="true" outlineLevel="0" collapsed="false">
      <c r="A26" s="15" t="s">
        <v>281</v>
      </c>
      <c r="B26" s="15"/>
      <c r="C26" s="15"/>
      <c r="D26" s="15"/>
      <c r="E26" s="15"/>
      <c r="F26" s="15"/>
      <c r="G26" s="15"/>
      <c r="H26" s="15"/>
      <c r="I26" s="15"/>
    </row>
    <row r="28" customFormat="false" ht="15" hidden="false" customHeight="false" outlineLevel="0" collapsed="false">
      <c r="A28" s="16" t="s">
        <v>282</v>
      </c>
    </row>
    <row r="29" customFormat="false" ht="21.75" hidden="false" customHeight="true" outlineLevel="0" collapsed="false">
      <c r="A29" s="4"/>
      <c r="B29" s="4" t="s">
        <v>283</v>
      </c>
      <c r="C29" s="4" t="s">
        <v>284</v>
      </c>
      <c r="D29" s="4"/>
      <c r="E29" s="4" t="s">
        <v>285</v>
      </c>
      <c r="F29" s="4"/>
      <c r="G29" s="4"/>
      <c r="H29" s="4"/>
      <c r="I29" s="4"/>
    </row>
    <row r="30" customFormat="false" ht="15" hidden="false" customHeight="true" outlineLevel="0" collapsed="false">
      <c r="A30" s="21" t="s">
        <v>286</v>
      </c>
      <c r="B30" s="3" t="s">
        <v>287</v>
      </c>
      <c r="C30" s="34" t="n">
        <v>34706</v>
      </c>
      <c r="D30" s="34"/>
      <c r="E30" s="35" t="s">
        <v>288</v>
      </c>
      <c r="F30" s="35"/>
      <c r="G30" s="35"/>
      <c r="H30" s="35"/>
      <c r="I30" s="35"/>
    </row>
    <row r="31" customFormat="false" ht="15" hidden="false" customHeight="true" outlineLevel="0" collapsed="false">
      <c r="A31" s="21" t="s">
        <v>289</v>
      </c>
      <c r="B31" s="3" t="s">
        <v>290</v>
      </c>
      <c r="C31" s="36" t="n">
        <v>0.1</v>
      </c>
      <c r="D31" s="36"/>
      <c r="E31" s="35" t="s">
        <v>291</v>
      </c>
      <c r="F31" s="35"/>
      <c r="G31" s="35"/>
      <c r="H31" s="35"/>
      <c r="I31" s="35"/>
    </row>
    <row r="32" customFormat="false" ht="15" hidden="false" customHeight="true" outlineLevel="0" collapsed="false">
      <c r="A32" s="21" t="s">
        <v>292</v>
      </c>
      <c r="B32" s="3" t="s">
        <v>293</v>
      </c>
      <c r="C32" s="37" t="n">
        <f aca="false">C30*C31</f>
        <v>3470.6</v>
      </c>
      <c r="D32" s="37"/>
      <c r="E32" s="35" t="s">
        <v>294</v>
      </c>
      <c r="F32" s="35"/>
      <c r="G32" s="35"/>
      <c r="H32" s="35"/>
      <c r="I32" s="35"/>
    </row>
    <row r="33" customFormat="false" ht="28.35" hidden="false" customHeight="true" outlineLevel="0" collapsed="false">
      <c r="A33" s="21" t="s">
        <v>295</v>
      </c>
      <c r="B33" s="3" t="s">
        <v>296</v>
      </c>
      <c r="C33" s="37" t="n">
        <f aca="false">H25</f>
        <v>7755</v>
      </c>
      <c r="D33" s="37"/>
      <c r="E33" s="35" t="s">
        <v>297</v>
      </c>
      <c r="F33" s="35"/>
      <c r="G33" s="35"/>
      <c r="H33" s="35"/>
      <c r="I33" s="35"/>
    </row>
    <row r="34" customFormat="false" ht="15" hidden="false" customHeight="true" outlineLevel="0" collapsed="false">
      <c r="A34" s="21" t="s">
        <v>298</v>
      </c>
      <c r="B34" s="3" t="s">
        <v>299</v>
      </c>
      <c r="C34" s="38" t="n">
        <f aca="false">C32/C33</f>
        <v>0.447530625402966</v>
      </c>
      <c r="D34" s="38"/>
      <c r="E34" s="35" t="s">
        <v>300</v>
      </c>
      <c r="F34" s="35"/>
      <c r="G34" s="35"/>
      <c r="H34" s="35"/>
      <c r="I34" s="35"/>
    </row>
    <row r="35" customFormat="false" ht="15" hidden="false" customHeight="true" outlineLevel="0" collapsed="false">
      <c r="A35" s="21" t="s">
        <v>301</v>
      </c>
      <c r="B35" s="3" t="s">
        <v>302</v>
      </c>
      <c r="C35" s="34" t="n">
        <v>50000</v>
      </c>
      <c r="D35" s="34"/>
      <c r="E35" s="35" t="s">
        <v>291</v>
      </c>
      <c r="F35" s="35"/>
      <c r="G35" s="35"/>
      <c r="H35" s="35"/>
      <c r="I35" s="35"/>
    </row>
    <row r="36" customFormat="false" ht="15" hidden="false" customHeight="true" outlineLevel="0" collapsed="false">
      <c r="A36" s="21" t="s">
        <v>303</v>
      </c>
      <c r="B36" s="3" t="s">
        <v>304</v>
      </c>
      <c r="C36" s="37" t="n">
        <f aca="false">C30+C33</f>
        <v>42461</v>
      </c>
      <c r="D36" s="37"/>
      <c r="E36" s="35" t="s">
        <v>305</v>
      </c>
      <c r="F36" s="35"/>
      <c r="G36" s="35"/>
      <c r="H36" s="35"/>
      <c r="I36" s="35"/>
    </row>
    <row r="37" customFormat="false" ht="28.35" hidden="false" customHeight="true" outlineLevel="0" collapsed="false">
      <c r="A37" s="21" t="s">
        <v>306</v>
      </c>
      <c r="B37" s="3" t="s">
        <v>307</v>
      </c>
      <c r="C37" s="37" t="n">
        <f aca="false">C35-C36</f>
        <v>7539</v>
      </c>
      <c r="D37" s="37"/>
      <c r="E37" s="35" t="s">
        <v>308</v>
      </c>
      <c r="F37" s="35"/>
      <c r="G37" s="35"/>
      <c r="H37" s="35"/>
      <c r="I37" s="35"/>
    </row>
    <row r="38" customFormat="false" ht="15" hidden="false" customHeight="true" outlineLevel="0" collapsed="false">
      <c r="A38" s="21" t="s">
        <v>309</v>
      </c>
      <c r="B38" s="3" t="s">
        <v>310</v>
      </c>
      <c r="C38" s="39" t="n">
        <v>720.8</v>
      </c>
      <c r="D38" s="39"/>
      <c r="E38" s="35" t="s">
        <v>311</v>
      </c>
      <c r="F38" s="35"/>
      <c r="G38" s="35"/>
      <c r="H38" s="35"/>
      <c r="I38" s="35"/>
    </row>
    <row r="39" customFormat="false" ht="15" hidden="false" customHeight="true" outlineLevel="0" collapsed="false">
      <c r="A39" s="21" t="s">
        <v>312</v>
      </c>
      <c r="B39" s="3" t="s">
        <v>313</v>
      </c>
      <c r="C39" s="39" t="n">
        <v>546.6</v>
      </c>
      <c r="D39" s="39"/>
      <c r="E39" s="35" t="s">
        <v>311</v>
      </c>
      <c r="F39" s="35"/>
      <c r="G39" s="35"/>
      <c r="H39" s="35"/>
      <c r="I39" s="35"/>
    </row>
    <row r="40" customFormat="false" ht="15" hidden="false" customHeight="true" outlineLevel="0" collapsed="false">
      <c r="A40" s="21" t="s">
        <v>314</v>
      </c>
      <c r="B40" s="3" t="s">
        <v>315</v>
      </c>
      <c r="C40" s="40" t="n">
        <f aca="false">C38-C39</f>
        <v>174.2</v>
      </c>
      <c r="D40" s="40"/>
      <c r="E40" s="35" t="s">
        <v>316</v>
      </c>
      <c r="F40" s="35"/>
      <c r="G40" s="35"/>
      <c r="H40" s="35"/>
      <c r="I40" s="35"/>
    </row>
    <row r="41" customFormat="false" ht="28.35" hidden="false" customHeight="true" outlineLevel="0" collapsed="false">
      <c r="A41" s="21" t="s">
        <v>317</v>
      </c>
      <c r="B41" s="3" t="s">
        <v>318</v>
      </c>
      <c r="C41" s="40" t="n">
        <f aca="false">G25</f>
        <v>141</v>
      </c>
      <c r="D41" s="40"/>
      <c r="E41" s="35" t="s">
        <v>297</v>
      </c>
      <c r="F41" s="35"/>
      <c r="G41" s="35"/>
      <c r="H41" s="35"/>
      <c r="I41" s="35"/>
    </row>
    <row r="42" customFormat="false" ht="28.35" hidden="false" customHeight="true" outlineLevel="0" collapsed="false">
      <c r="A42" s="21" t="s">
        <v>319</v>
      </c>
      <c r="B42" s="3" t="s">
        <v>320</v>
      </c>
      <c r="C42" s="40" t="n">
        <f aca="false">C40-C41</f>
        <v>33.1999999999999</v>
      </c>
      <c r="D42" s="40"/>
      <c r="E42" s="35" t="s">
        <v>321</v>
      </c>
      <c r="F42" s="35"/>
      <c r="G42" s="35"/>
      <c r="H42" s="35"/>
      <c r="I42" s="35"/>
    </row>
    <row r="44" customFormat="false" ht="79.5" hidden="false" customHeight="true" outlineLevel="0" collapsed="false">
      <c r="A44" s="41" t="s">
        <v>322</v>
      </c>
      <c r="B44" s="41"/>
      <c r="C44" s="41"/>
      <c r="D44" s="41"/>
      <c r="E44" s="41"/>
      <c r="F44" s="41"/>
      <c r="G44" s="41"/>
      <c r="H44" s="41"/>
      <c r="I44" s="41"/>
    </row>
  </sheetData>
  <mergeCells count="33">
    <mergeCell ref="A2:I2"/>
    <mergeCell ref="A4:B4"/>
    <mergeCell ref="D4:F4"/>
    <mergeCell ref="A26:I26"/>
    <mergeCell ref="C29:D29"/>
    <mergeCell ref="E29:I29"/>
    <mergeCell ref="C30:D30"/>
    <mergeCell ref="E30:I30"/>
    <mergeCell ref="C31:D31"/>
    <mergeCell ref="E31:I31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C37:D37"/>
    <mergeCell ref="E37:I37"/>
    <mergeCell ref="C38:D38"/>
    <mergeCell ref="E38:I38"/>
    <mergeCell ref="C39:D39"/>
    <mergeCell ref="E39:I39"/>
    <mergeCell ref="C40:D40"/>
    <mergeCell ref="E40:I40"/>
    <mergeCell ref="C41:D41"/>
    <mergeCell ref="E41:I41"/>
    <mergeCell ref="C42:D42"/>
    <mergeCell ref="E42:I42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7" min="5" style="0" width="30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323</v>
      </c>
    </row>
    <row r="3" customFormat="false" ht="15" hidden="false" customHeight="false" outlineLevel="0" collapsed="false">
      <c r="A3" s="16" t="s">
        <v>324</v>
      </c>
    </row>
    <row r="4" customFormat="false" ht="31.5" hidden="false" customHeight="true" outlineLevel="0" collapsed="false">
      <c r="A4" s="4" t="s">
        <v>241</v>
      </c>
      <c r="B4" s="4" t="s">
        <v>325</v>
      </c>
      <c r="C4" s="4" t="s">
        <v>326</v>
      </c>
      <c r="D4" s="4" t="s">
        <v>327</v>
      </c>
      <c r="E4" s="4" t="s">
        <v>328</v>
      </c>
      <c r="F4" s="4"/>
      <c r="G4" s="4"/>
      <c r="H4" s="4"/>
    </row>
    <row r="5" customFormat="false" ht="15" hidden="false" customHeight="true" outlineLevel="0" collapsed="false">
      <c r="A5" s="21" t="n">
        <v>1</v>
      </c>
      <c r="B5" s="3" t="s">
        <v>329</v>
      </c>
      <c r="C5" s="21" t="s">
        <v>330</v>
      </c>
      <c r="D5" s="36" t="n">
        <v>0.05</v>
      </c>
      <c r="E5" s="3" t="s">
        <v>331</v>
      </c>
      <c r="F5" s="3"/>
      <c r="G5" s="3"/>
      <c r="H5" s="3"/>
    </row>
    <row r="6" customFormat="false" ht="15" hidden="false" customHeight="true" outlineLevel="0" collapsed="false">
      <c r="A6" s="21" t="n">
        <v>2</v>
      </c>
      <c r="B6" s="3" t="s">
        <v>332</v>
      </c>
      <c r="C6" s="21" t="s">
        <v>333</v>
      </c>
      <c r="D6" s="36" t="n">
        <v>0.2</v>
      </c>
      <c r="E6" s="3" t="s">
        <v>334</v>
      </c>
      <c r="F6" s="3"/>
      <c r="G6" s="3"/>
      <c r="H6" s="3"/>
    </row>
    <row r="7" customFormat="false" ht="15" hidden="false" customHeight="true" outlineLevel="0" collapsed="false">
      <c r="A7" s="21" t="n">
        <v>3</v>
      </c>
      <c r="B7" s="3" t="s">
        <v>335</v>
      </c>
      <c r="C7" s="21" t="s">
        <v>336</v>
      </c>
      <c r="D7" s="36" t="n">
        <v>0.4</v>
      </c>
      <c r="E7" s="3" t="s">
        <v>337</v>
      </c>
      <c r="F7" s="3"/>
      <c r="G7" s="3"/>
      <c r="H7" s="3"/>
    </row>
    <row r="8" customFormat="false" ht="15" hidden="false" customHeight="true" outlineLevel="0" collapsed="false">
      <c r="A8" s="21" t="n">
        <v>4</v>
      </c>
      <c r="B8" s="3" t="s">
        <v>338</v>
      </c>
      <c r="C8" s="21" t="s">
        <v>339</v>
      </c>
      <c r="D8" s="36" t="n">
        <v>0.6</v>
      </c>
      <c r="E8" s="3" t="s">
        <v>340</v>
      </c>
      <c r="F8" s="3"/>
      <c r="G8" s="3"/>
      <c r="H8" s="3"/>
    </row>
    <row r="9" customFormat="false" ht="15" hidden="false" customHeight="true" outlineLevel="0" collapsed="false">
      <c r="A9" s="21" t="n">
        <v>5</v>
      </c>
      <c r="B9" s="3" t="s">
        <v>341</v>
      </c>
      <c r="C9" s="21" t="s">
        <v>342</v>
      </c>
      <c r="D9" s="36" t="n">
        <v>0.85</v>
      </c>
      <c r="E9" s="3" t="s">
        <v>343</v>
      </c>
      <c r="F9" s="3"/>
      <c r="G9" s="3"/>
      <c r="H9" s="3"/>
    </row>
    <row r="11" customFormat="false" ht="15" hidden="false" customHeight="false" outlineLevel="0" collapsed="false">
      <c r="A11" s="16" t="s">
        <v>344</v>
      </c>
    </row>
    <row r="12" customFormat="false" ht="31.5" hidden="false" customHeight="true" outlineLevel="0" collapsed="false">
      <c r="A12" s="4" t="s">
        <v>241</v>
      </c>
      <c r="B12" s="4" t="s">
        <v>325</v>
      </c>
      <c r="C12" s="4" t="s">
        <v>345</v>
      </c>
      <c r="D12" s="4"/>
      <c r="E12" s="4" t="s">
        <v>86</v>
      </c>
      <c r="F12" s="4" t="s">
        <v>346</v>
      </c>
      <c r="G12" s="4" t="s">
        <v>119</v>
      </c>
      <c r="H12" s="4"/>
    </row>
    <row r="13" customFormat="false" ht="39.75" hidden="false" customHeight="true" outlineLevel="0" collapsed="false">
      <c r="A13" s="21" t="n">
        <v>1</v>
      </c>
      <c r="B13" s="3" t="s">
        <v>347</v>
      </c>
      <c r="C13" s="42" t="s">
        <v>348</v>
      </c>
      <c r="D13" s="42"/>
      <c r="E13" s="3" t="s">
        <v>349</v>
      </c>
      <c r="F13" s="3" t="s">
        <v>350</v>
      </c>
      <c r="G13" s="3" t="s">
        <v>351</v>
      </c>
      <c r="H13" s="3"/>
    </row>
    <row r="14" customFormat="false" ht="39.75" hidden="false" customHeight="true" outlineLevel="0" collapsed="false">
      <c r="A14" s="21" t="n">
        <v>2</v>
      </c>
      <c r="B14" s="3" t="s">
        <v>352</v>
      </c>
      <c r="C14" s="42" t="s">
        <v>353</v>
      </c>
      <c r="D14" s="42"/>
      <c r="E14" s="3" t="s">
        <v>354</v>
      </c>
      <c r="F14" s="3" t="s">
        <v>355</v>
      </c>
      <c r="G14" s="3" t="s">
        <v>356</v>
      </c>
      <c r="H14" s="3"/>
    </row>
    <row r="15" customFormat="false" ht="39.75" hidden="false" customHeight="true" outlineLevel="0" collapsed="false">
      <c r="A15" s="21" t="n">
        <v>3</v>
      </c>
      <c r="B15" s="3" t="s">
        <v>357</v>
      </c>
      <c r="C15" s="42" t="s">
        <v>358</v>
      </c>
      <c r="D15" s="42"/>
      <c r="E15" s="3" t="s">
        <v>359</v>
      </c>
      <c r="F15" s="3" t="s">
        <v>360</v>
      </c>
      <c r="G15" s="3" t="s">
        <v>361</v>
      </c>
      <c r="H15" s="3"/>
    </row>
    <row r="16" customFormat="false" ht="39.75" hidden="false" customHeight="true" outlineLevel="0" collapsed="false">
      <c r="A16" s="21" t="n">
        <v>4</v>
      </c>
      <c r="B16" s="3" t="s">
        <v>362</v>
      </c>
      <c r="C16" s="42" t="s">
        <v>363</v>
      </c>
      <c r="D16" s="42"/>
      <c r="E16" s="3" t="s">
        <v>364</v>
      </c>
      <c r="F16" s="3" t="s">
        <v>365</v>
      </c>
      <c r="G16" s="3" t="s">
        <v>366</v>
      </c>
      <c r="H16" s="3"/>
    </row>
    <row r="17" customFormat="false" ht="39.75" hidden="false" customHeight="true" outlineLevel="0" collapsed="false">
      <c r="A17" s="21" t="n">
        <v>5</v>
      </c>
      <c r="B17" s="3" t="s">
        <v>367</v>
      </c>
      <c r="C17" s="42" t="s">
        <v>368</v>
      </c>
      <c r="D17" s="42"/>
      <c r="E17" s="3" t="s">
        <v>369</v>
      </c>
      <c r="F17" s="3" t="s">
        <v>370</v>
      </c>
      <c r="G17" s="3" t="s">
        <v>371</v>
      </c>
      <c r="H17" s="3"/>
    </row>
    <row r="19" customFormat="false" ht="15" hidden="false" customHeight="false" outlineLevel="0" collapsed="false">
      <c r="A19" s="16" t="s">
        <v>372</v>
      </c>
    </row>
    <row r="20" customFormat="false" ht="19.5" hidden="false" customHeight="true" outlineLevel="0" collapsed="false">
      <c r="A20" s="4" t="s">
        <v>27</v>
      </c>
      <c r="B20" s="4"/>
      <c r="C20" s="4" t="s">
        <v>373</v>
      </c>
      <c r="D20" s="4"/>
      <c r="E20" s="4" t="s">
        <v>374</v>
      </c>
      <c r="F20" s="4"/>
      <c r="G20" s="4"/>
      <c r="H20" s="4"/>
    </row>
    <row r="21" customFormat="false" ht="30" hidden="false" customHeight="true" outlineLevel="0" collapsed="false">
      <c r="A21" s="11" t="s">
        <v>227</v>
      </c>
      <c r="B21" s="11"/>
      <c r="C21" s="24" t="n">
        <v>12</v>
      </c>
      <c r="D21" s="24"/>
      <c r="E21" s="3" t="s">
        <v>375</v>
      </c>
      <c r="F21" s="3"/>
      <c r="G21" s="3"/>
      <c r="H21" s="3"/>
    </row>
    <row r="22" customFormat="false" ht="30" hidden="false" customHeight="true" outlineLevel="0" collapsed="false">
      <c r="A22" s="13" t="s">
        <v>228</v>
      </c>
      <c r="B22" s="13"/>
      <c r="C22" s="24" t="n">
        <v>6</v>
      </c>
      <c r="D22" s="24"/>
      <c r="E22" s="3" t="s">
        <v>376</v>
      </c>
      <c r="F22" s="3"/>
      <c r="G22" s="3"/>
      <c r="H22" s="3"/>
    </row>
    <row r="23" customFormat="false" ht="30" hidden="false" customHeight="true" outlineLevel="0" collapsed="false">
      <c r="A23" s="14" t="s">
        <v>229</v>
      </c>
      <c r="B23" s="14"/>
      <c r="C23" s="24" t="n">
        <v>1</v>
      </c>
      <c r="D23" s="24"/>
      <c r="E23" s="3" t="s">
        <v>377</v>
      </c>
      <c r="F23" s="3"/>
      <c r="G23" s="3"/>
      <c r="H23" s="3"/>
    </row>
    <row r="25" customFormat="false" ht="15" hidden="false" customHeight="false" outlineLevel="0" collapsed="false">
      <c r="A25" s="16" t="s">
        <v>378</v>
      </c>
    </row>
    <row r="26" customFormat="false" ht="19.5" hidden="false" customHeight="true" outlineLevel="0" collapsed="false">
      <c r="A26" s="4" t="s">
        <v>28</v>
      </c>
      <c r="B26" s="4"/>
      <c r="C26" s="4" t="s">
        <v>379</v>
      </c>
      <c r="D26" s="4"/>
      <c r="E26" s="4"/>
      <c r="F26" s="4"/>
      <c r="G26" s="4"/>
      <c r="H26" s="4"/>
    </row>
    <row r="27" customFormat="false" ht="18" hidden="false" customHeight="true" outlineLevel="0" collapsed="false">
      <c r="A27" s="6" t="s">
        <v>103</v>
      </c>
      <c r="B27" s="6"/>
      <c r="C27" s="3" t="s">
        <v>380</v>
      </c>
      <c r="D27" s="3"/>
      <c r="E27" s="3"/>
      <c r="F27" s="3"/>
      <c r="G27" s="3"/>
      <c r="H27" s="3"/>
    </row>
    <row r="28" customFormat="false" ht="18" hidden="false" customHeight="true" outlineLevel="0" collapsed="false">
      <c r="A28" s="6" t="s">
        <v>81</v>
      </c>
      <c r="B28" s="6"/>
      <c r="C28" s="3" t="s">
        <v>381</v>
      </c>
      <c r="D28" s="3"/>
      <c r="E28" s="3"/>
      <c r="F28" s="3"/>
      <c r="G28" s="3"/>
      <c r="H28" s="3"/>
    </row>
    <row r="29" customFormat="false" ht="18" hidden="false" customHeight="true" outlineLevel="0" collapsed="false">
      <c r="A29" s="6" t="s">
        <v>44</v>
      </c>
      <c r="B29" s="6"/>
      <c r="C29" s="3" t="s">
        <v>382</v>
      </c>
      <c r="D29" s="3"/>
      <c r="E29" s="3"/>
      <c r="F29" s="3"/>
      <c r="G29" s="3"/>
      <c r="H29" s="3"/>
    </row>
    <row r="30" customFormat="false" ht="18" hidden="false" customHeight="true" outlineLevel="0" collapsed="false">
      <c r="A30" s="6" t="s">
        <v>126</v>
      </c>
      <c r="B30" s="6"/>
      <c r="C30" s="3" t="s">
        <v>383</v>
      </c>
      <c r="D30" s="3"/>
      <c r="E30" s="3"/>
      <c r="F30" s="3"/>
      <c r="G30" s="3"/>
      <c r="H30" s="3"/>
    </row>
    <row r="31" customFormat="false" ht="18" hidden="false" customHeight="true" outlineLevel="0" collapsed="false">
      <c r="A31" s="6" t="s">
        <v>384</v>
      </c>
      <c r="B31" s="6"/>
      <c r="C31" s="3" t="s">
        <v>385</v>
      </c>
      <c r="D31" s="3"/>
      <c r="E31" s="3"/>
      <c r="F31" s="3"/>
      <c r="G31" s="3"/>
      <c r="H31" s="3"/>
    </row>
    <row r="33" customFormat="false" ht="15" hidden="false" customHeight="false" outlineLevel="0" collapsed="false">
      <c r="A33" s="16" t="s">
        <v>386</v>
      </c>
    </row>
    <row r="34" customFormat="false" ht="48" hidden="false" customHeight="true" outlineLevel="0" collapsed="false">
      <c r="A34" s="41" t="s">
        <v>387</v>
      </c>
      <c r="B34" s="41"/>
      <c r="C34" s="41"/>
      <c r="D34" s="41"/>
      <c r="E34" s="41"/>
      <c r="F34" s="41"/>
      <c r="G34" s="41"/>
      <c r="H34" s="41"/>
    </row>
    <row r="35" customFormat="false" ht="48" hidden="false" customHeight="true" outlineLevel="0" collapsed="false">
      <c r="A35" s="41" t="s">
        <v>388</v>
      </c>
      <c r="B35" s="41"/>
      <c r="C35" s="41"/>
      <c r="D35" s="41"/>
      <c r="E35" s="41"/>
      <c r="F35" s="41"/>
      <c r="G35" s="41"/>
      <c r="H35" s="41"/>
    </row>
    <row r="36" customFormat="false" ht="48" hidden="false" customHeight="true" outlineLevel="0" collapsed="false">
      <c r="A36" s="41" t="s">
        <v>389</v>
      </c>
      <c r="B36" s="41"/>
      <c r="C36" s="41"/>
      <c r="D36" s="41"/>
      <c r="E36" s="41"/>
      <c r="F36" s="41"/>
      <c r="G36" s="41"/>
      <c r="H36" s="41"/>
    </row>
    <row r="37" customFormat="false" ht="48" hidden="false" customHeight="true" outlineLevel="0" collapsed="false">
      <c r="A37" s="41" t="s">
        <v>390</v>
      </c>
      <c r="B37" s="41"/>
      <c r="C37" s="41"/>
      <c r="D37" s="41"/>
      <c r="E37" s="41"/>
      <c r="F37" s="41"/>
      <c r="G37" s="41"/>
      <c r="H37" s="41"/>
    </row>
    <row r="38" customFormat="false" ht="48" hidden="false" customHeight="true" outlineLevel="0" collapsed="false">
      <c r="A38" s="41" t="s">
        <v>391</v>
      </c>
      <c r="B38" s="41"/>
      <c r="C38" s="41"/>
      <c r="D38" s="41"/>
      <c r="E38" s="41"/>
      <c r="F38" s="41"/>
      <c r="G38" s="41"/>
      <c r="H38" s="41"/>
    </row>
    <row r="39" customFormat="false" ht="48" hidden="false" customHeight="true" outlineLevel="0" collapsed="false">
      <c r="A39" s="41" t="s">
        <v>392</v>
      </c>
      <c r="B39" s="41"/>
      <c r="C39" s="41"/>
      <c r="D39" s="41"/>
      <c r="E39" s="41"/>
      <c r="F39" s="41"/>
      <c r="G39" s="41"/>
      <c r="H39" s="41"/>
    </row>
    <row r="40" customFormat="false" ht="48" hidden="false" customHeight="true" outlineLevel="0" collapsed="false">
      <c r="A40" s="41" t="s">
        <v>393</v>
      </c>
      <c r="B40" s="41"/>
      <c r="C40" s="41"/>
      <c r="D40" s="41"/>
      <c r="E40" s="41"/>
      <c r="F40" s="41"/>
      <c r="G40" s="41"/>
      <c r="H40" s="41"/>
    </row>
    <row r="42" customFormat="false" ht="31.5" hidden="false" customHeight="true" outlineLevel="0" collapsed="false">
      <c r="A42" s="15" t="s">
        <v>394</v>
      </c>
      <c r="B42" s="15"/>
      <c r="C42" s="15"/>
      <c r="D42" s="15"/>
      <c r="E42" s="15"/>
      <c r="F42" s="15"/>
      <c r="G42" s="15"/>
      <c r="H42" s="15"/>
    </row>
  </sheetData>
  <mergeCells count="50">
    <mergeCell ref="E4:H4"/>
    <mergeCell ref="E5:H5"/>
    <mergeCell ref="E6:H6"/>
    <mergeCell ref="E7:H7"/>
    <mergeCell ref="E8:H8"/>
    <mergeCell ref="E9:H9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A20:B20"/>
    <mergeCell ref="C20:D20"/>
    <mergeCell ref="E20:H20"/>
    <mergeCell ref="A21:B21"/>
    <mergeCell ref="C21:D21"/>
    <mergeCell ref="E21:H21"/>
    <mergeCell ref="A22:B22"/>
    <mergeCell ref="C22:D22"/>
    <mergeCell ref="E22:H22"/>
    <mergeCell ref="A23:B23"/>
    <mergeCell ref="C23:D23"/>
    <mergeCell ref="E23:H23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4:H34"/>
    <mergeCell ref="A35:H35"/>
    <mergeCell ref="A36:H36"/>
    <mergeCell ref="A37:H37"/>
    <mergeCell ref="A38:H38"/>
    <mergeCell ref="A39:H39"/>
    <mergeCell ref="A40:H40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2026-10-12T21:08:02Z</dcterms:created>
  <dc:creator>openpyxl</dc:creator>
  <dc:description/>
  <dc:language>en-US</dc:language>
  <cp:lastModifiedBy/>
  <dcterms:modified xsi:type="dcterms:W3CDTF">2026-10-12T21:08:03Z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