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PERT (вариант А)" sheetId="2" state="visible" r:id="rId2"/>
    <sheet xmlns:r="http://schemas.openxmlformats.org/officeDocument/2006/relationships" name="PERT (вариант Б)" sheetId="3" state="visible" r:id="rId3"/>
    <sheet xmlns:r="http://schemas.openxmlformats.org/officeDocument/2006/relationships" name="События" sheetId="4" state="visible" r:id="rId4"/>
    <sheet xmlns:r="http://schemas.openxmlformats.org/officeDocument/2006/relationships" name="Вероятность" sheetId="5" state="visible" r:id="rId5"/>
    <sheet xmlns:r="http://schemas.openxmlformats.org/officeDocument/2006/relationships" name="Сценарии" sheetId="6" state="visible" r:id="rId6"/>
    <sheet xmlns:r="http://schemas.openxmlformats.org/officeDocument/2006/relationships" name="Изменения" sheetId="7" state="visible" r:id="rId7"/>
    <sheet xmlns:r="http://schemas.openxmlformats.org/officeDocument/2006/relationships" name="Допущения" sheetId="8" state="visible" r:id="rId8"/>
    <sheet xmlns:r="http://schemas.openxmlformats.org/officeDocument/2006/relationships" name="Сетевой график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;-0.0;0.0"/>
  </numFmts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7F7F7F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2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pivotButton="0" quotePrefix="0" xfId="0"/>
    <xf numFmtId="49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0" cy="8296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0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7" customWidth="1" min="4" max="4"/>
    <col width="7" customWidth="1" min="5" max="5"/>
    <col width="7" customWidth="1" min="6" max="6"/>
    <col width="8" customWidth="1" min="7" max="7"/>
    <col width="8" customWidth="1" min="8" max="8"/>
    <col width="10" customWidth="1" min="9" max="9"/>
    <col width="9" customWidth="1" min="10" max="10"/>
    <col width="9" customWidth="1" min="11" max="11"/>
    <col width="12" customWidth="1" min="12" max="12"/>
    <col width="22" customWidth="1" min="13" max="13"/>
    <col width="22" customWidth="1" min="14" max="14"/>
    <col width="38" customWidth="1" min="15" max="15"/>
    <col width="9" customWidth="1" min="16" max="16"/>
    <col width="12" customWidth="1" min="17" max="17"/>
  </cols>
  <sheetData>
    <row r="1" ht="22" customHeight="1">
      <c r="A1" s="1" t="inlineStr">
        <is>
          <t>Исходные данные по пакетам работ</t>
        </is>
      </c>
    </row>
    <row r="2" ht="18" customHeight="1">
      <c r="A2" s="2" t="inlineStr">
        <is>
          <t>Статус-дата 17.10.2026. O, M, P взяты из сводной таблицы оценок.</t>
        </is>
      </c>
    </row>
    <row r="4" ht="46" customHeight="1">
      <c r="A4" s="3" t="inlineStr">
        <is>
          <t>№</t>
        </is>
      </c>
      <c r="B4" s="3" t="inlineStr">
        <is>
          <t>Пакет работ</t>
        </is>
      </c>
      <c r="C4" s="3" t="inlineStr">
        <is>
          <t>Приоритет</t>
        </is>
      </c>
      <c r="D4" s="3" t="inlineStr">
        <is>
          <t>O, ч</t>
        </is>
      </c>
      <c r="E4" s="3" t="inlineStr">
        <is>
          <t>M, ч</t>
        </is>
      </c>
      <c r="F4" s="3" t="inlineStr">
        <is>
          <t>P, ч</t>
        </is>
      </c>
      <c r="G4" s="3" t="inlineStr">
        <is>
          <t>E, ч</t>
        </is>
      </c>
      <c r="H4" s="3" t="inlineStr">
        <is>
          <t>σ, ч</t>
        </is>
      </c>
      <c r="I4" s="3" t="inlineStr">
        <is>
          <t>Готово на 17.10</t>
        </is>
      </c>
      <c r="J4" s="3" t="inlineStr">
        <is>
          <t>E ост., ч</t>
        </is>
      </c>
      <c r="K4" s="3" t="inlineStr">
        <is>
          <t>σ ост., ч</t>
        </is>
      </c>
      <c r="L4" s="3" t="inlineStr">
        <is>
          <t>Тип</t>
        </is>
      </c>
      <c r="M4" s="3" t="inlineStr">
        <is>
          <t>Предшественницы (сводная таблица)</t>
        </is>
      </c>
      <c r="N4" s="3" t="inlineStr">
        <is>
          <t>Предшественницы (в сети)</t>
        </is>
      </c>
      <c r="O4" s="3" t="inlineStr">
        <is>
          <t>Примечание</t>
        </is>
      </c>
      <c r="P4" s="3" t="inlineStr">
        <is>
          <t>В плане Б</t>
        </is>
      </c>
      <c r="Q4" s="3" t="inlineStr">
        <is>
          <t>E ост. в плане Б, ч</t>
        </is>
      </c>
    </row>
    <row r="5" ht="30" customHeight="1">
      <c r="A5" s="4" t="inlineStr">
        <is>
          <t>1.1</t>
        </is>
      </c>
      <c r="B5" s="5" t="inlineStr">
        <is>
          <t>Инициация проекта</t>
        </is>
      </c>
      <c r="C5" s="4" t="inlineStr">
        <is>
          <t>Must</t>
        </is>
      </c>
      <c r="D5" s="6" t="n">
        <v>12</v>
      </c>
      <c r="E5" s="6" t="n">
        <v>18</v>
      </c>
      <c r="F5" s="6" t="n">
        <v>28</v>
      </c>
      <c r="G5" s="7">
        <f>(D5+4*E5+F5)/6</f>
        <v>18.666666666666668</v>
      </c>
      <c r="H5" s="7">
        <f>(F5-D5)/6</f>
        <v>2.6666666666666665</v>
      </c>
      <c r="I5" s="8" t="n">
        <v>1</v>
      </c>
      <c r="J5" s="7">
        <f>G5*(1-I5)</f>
        <v>0.0</v>
      </c>
      <c r="K5" s="7">
        <f>H5*(1-I5)</f>
        <v>0.0</v>
      </c>
      <c r="L5" s="4" t="inlineStr">
        <is>
          <t>выполнена</t>
        </is>
      </c>
      <c r="M5" s="4" t="inlineStr">
        <is>
          <t>—</t>
        </is>
      </c>
      <c r="N5" s="4" t="inlineStr">
        <is>
          <t>—</t>
        </is>
      </c>
      <c r="O5" s="5" t="inlineStr"/>
      <c r="P5" s="4" t="inlineStr">
        <is>
          <t>да</t>
        </is>
      </c>
      <c r="Q5" s="7">
        <f>IF(P5="да",J5,0)</f>
        <v>0.0</v>
      </c>
    </row>
    <row r="6" ht="30" customHeight="1">
      <c r="A6" s="4" t="inlineStr">
        <is>
          <t>1.2</t>
        </is>
      </c>
      <c r="B6" s="5" t="inlineStr">
        <is>
          <t>Планирование проекта</t>
        </is>
      </c>
      <c r="C6" s="4" t="inlineStr">
        <is>
          <t>Must</t>
        </is>
      </c>
      <c r="D6" s="6" t="n">
        <v>20</v>
      </c>
      <c r="E6" s="6" t="n">
        <v>32</v>
      </c>
      <c r="F6" s="6" t="n">
        <v>48</v>
      </c>
      <c r="G6" s="7">
        <f>(D6+4*E6+F6)/6</f>
        <v>32.666666666666664</v>
      </c>
      <c r="H6" s="7">
        <f>(F6-D6)/6</f>
        <v>4.666666666666667</v>
      </c>
      <c r="I6" s="8" t="n">
        <v>0.6</v>
      </c>
      <c r="J6" s="7">
        <f>G6*(1-I6)</f>
        <v>13.066666666666666</v>
      </c>
      <c r="K6" s="7">
        <f>H6*(1-I6)</f>
        <v>1.866666666666667</v>
      </c>
      <c r="L6" s="4" t="inlineStr">
        <is>
          <t>обычная</t>
        </is>
      </c>
      <c r="M6" s="4" t="inlineStr">
        <is>
          <t>1.1</t>
        </is>
      </c>
      <c r="N6" s="4" t="inlineStr">
        <is>
          <t>—</t>
        </is>
      </c>
      <c r="O6" s="5" t="inlineStr">
        <is>
          <t>1.1 выполнен</t>
        </is>
      </c>
      <c r="P6" s="4" t="inlineStr">
        <is>
          <t>да</t>
        </is>
      </c>
      <c r="Q6" s="7">
        <f>IF(P6="да",J6,0)</f>
        <v>13.066666666666666</v>
      </c>
    </row>
    <row r="7" ht="30" customHeight="1">
      <c r="A7" s="9" t="inlineStr">
        <is>
          <t>1.3</t>
        </is>
      </c>
      <c r="B7" s="10" t="inlineStr">
        <is>
          <t>Мониторинг и контроль</t>
        </is>
      </c>
      <c r="C7" s="4" t="inlineStr">
        <is>
          <t>Must</t>
        </is>
      </c>
      <c r="D7" s="6" t="n">
        <v>40</v>
      </c>
      <c r="E7" s="6" t="n">
        <v>60</v>
      </c>
      <c r="F7" s="6" t="n">
        <v>90</v>
      </c>
      <c r="G7" s="7">
        <f>(D7+4*E7+F7)/6</f>
        <v>61.666666666666664</v>
      </c>
      <c r="H7" s="7">
        <f>(F7-D7)/6</f>
        <v>8.333333333333334</v>
      </c>
      <c r="I7" s="8" t="n">
        <v>0.379746835443038</v>
      </c>
      <c r="J7" s="7">
        <f>G7*(1-I7)</f>
        <v>38.24894514767932</v>
      </c>
      <c r="K7" s="7">
        <f>H7*(1-I7)</f>
        <v>5.168776371308017</v>
      </c>
      <c r="L7" s="4" t="inlineStr">
        <is>
          <t>гамак</t>
        </is>
      </c>
      <c r="M7" s="4" t="inlineStr">
        <is>
          <t>1.2</t>
        </is>
      </c>
      <c r="N7" s="4" t="inlineStr">
        <is>
          <t>гамак</t>
        </is>
      </c>
      <c r="O7" s="5" t="inlineStr">
        <is>
          <t>идёт весь проект (гамак)</t>
        </is>
      </c>
      <c r="P7" s="4" t="inlineStr">
        <is>
          <t>да</t>
        </is>
      </c>
      <c r="Q7" s="7">
        <f>IF(P7="да",J7,0)</f>
        <v>38.24894514767932</v>
      </c>
    </row>
    <row r="8" ht="30" customHeight="1">
      <c r="A8" s="4" t="inlineStr">
        <is>
          <t>1.4</t>
        </is>
      </c>
      <c r="B8" s="5" t="inlineStr">
        <is>
          <t>Закрытие проекта</t>
        </is>
      </c>
      <c r="C8" s="4" t="inlineStr">
        <is>
          <t>Must</t>
        </is>
      </c>
      <c r="D8" s="6" t="n">
        <v>8</v>
      </c>
      <c r="E8" s="6" t="n">
        <v>12</v>
      </c>
      <c r="F8" s="6" t="n">
        <v>20</v>
      </c>
      <c r="G8" s="7">
        <f>(D8+4*E8+F8)/6</f>
        <v>12.666666666666666</v>
      </c>
      <c r="H8" s="7">
        <f>(F8-D8)/6</f>
        <v>2.0</v>
      </c>
      <c r="I8" s="8" t="n">
        <v>0</v>
      </c>
      <c r="J8" s="7">
        <f>G8*(1-I8)</f>
        <v>12.666666666666666</v>
      </c>
      <c r="K8" s="7">
        <f>H8*(1-I8)</f>
        <v>2.0</v>
      </c>
      <c r="L8" s="4" t="inlineStr">
        <is>
          <t>обычная</t>
        </is>
      </c>
      <c r="M8" s="4" t="inlineStr">
        <is>
          <t>1.3, 6.3</t>
        </is>
      </c>
      <c r="N8" s="4" t="inlineStr">
        <is>
          <t>6.3</t>
        </is>
      </c>
      <c r="O8" s="5" t="inlineStr">
        <is>
          <t>1.3 заканчивается с началом 1.4</t>
        </is>
      </c>
      <c r="P8" s="4" t="inlineStr">
        <is>
          <t>да</t>
        </is>
      </c>
      <c r="Q8" s="7">
        <f>IF(P8="да",J8,0)</f>
        <v>12.666666666666666</v>
      </c>
    </row>
    <row r="9" ht="30" customHeight="1">
      <c r="A9" s="9" t="inlineStr">
        <is>
          <t>2.1</t>
        </is>
      </c>
      <c r="B9" s="10" t="inlineStr">
        <is>
          <t>Сбор и анализ требований</t>
        </is>
      </c>
      <c r="C9" s="4" t="inlineStr">
        <is>
          <t>Must</t>
        </is>
      </c>
      <c r="D9" s="6" t="n">
        <v>16</v>
      </c>
      <c r="E9" s="6" t="n">
        <v>28</v>
      </c>
      <c r="F9" s="6" t="n">
        <v>45</v>
      </c>
      <c r="G9" s="7">
        <f>(D9+4*E9+F9)/6</f>
        <v>28.833333333333332</v>
      </c>
      <c r="H9" s="7">
        <f>(F9-D9)/6</f>
        <v>4.833333333333333</v>
      </c>
      <c r="I9" s="8" t="n">
        <v>0.7</v>
      </c>
      <c r="J9" s="7">
        <f>G9*(1-I9)</f>
        <v>8.65</v>
      </c>
      <c r="K9" s="7">
        <f>H9*(1-I9)</f>
        <v>1.4500000000000002</v>
      </c>
      <c r="L9" s="4" t="inlineStr">
        <is>
          <t>гамак</t>
        </is>
      </c>
      <c r="M9" s="4" t="inlineStr">
        <is>
          <t>1.1</t>
        </is>
      </c>
      <c r="N9" s="4" t="inlineStr">
        <is>
          <t>гамак</t>
        </is>
      </c>
      <c r="O9" s="5" t="inlineStr">
        <is>
          <t>остаток по итерациям (гамак)</t>
        </is>
      </c>
      <c r="P9" s="4" t="inlineStr">
        <is>
          <t>да</t>
        </is>
      </c>
      <c r="Q9" s="7">
        <f>IF(P9="да",J9,0)</f>
        <v>8.65</v>
      </c>
    </row>
    <row r="10" ht="30" customHeight="1">
      <c r="A10" s="4" t="inlineStr">
        <is>
          <t>2.2</t>
        </is>
      </c>
      <c r="B10" s="5" t="inlineStr">
        <is>
          <t>Проектирование архитектуры и базы данных</t>
        </is>
      </c>
      <c r="C10" s="4" t="inlineStr">
        <is>
          <t>Must</t>
        </is>
      </c>
      <c r="D10" s="6" t="n">
        <v>18</v>
      </c>
      <c r="E10" s="6" t="n">
        <v>30</v>
      </c>
      <c r="F10" s="6" t="n">
        <v>48</v>
      </c>
      <c r="G10" s="7">
        <f>(D10+4*E10+F10)/6</f>
        <v>31.0</v>
      </c>
      <c r="H10" s="7">
        <f>(F10-D10)/6</f>
        <v>5.0</v>
      </c>
      <c r="I10" s="8" t="n">
        <v>0</v>
      </c>
      <c r="J10" s="7">
        <f>G10*(1-I10)</f>
        <v>31.0</v>
      </c>
      <c r="K10" s="7">
        <f>H10*(1-I10)</f>
        <v>5.0</v>
      </c>
      <c r="L10" s="4" t="inlineStr">
        <is>
          <t>обычная</t>
        </is>
      </c>
      <c r="M10" s="4" t="inlineStr">
        <is>
          <t>2.1</t>
        </is>
      </c>
      <c r="N10" s="4" t="inlineStr">
        <is>
          <t>—</t>
        </is>
      </c>
      <c r="O10" s="5" t="inlineStr">
        <is>
          <t>2.1 в основном выполнен</t>
        </is>
      </c>
      <c r="P10" s="4" t="inlineStr">
        <is>
          <t>да</t>
        </is>
      </c>
      <c r="Q10" s="7">
        <f>IF(P10="да",J10,0)</f>
        <v>31.0</v>
      </c>
    </row>
    <row r="11" ht="30" customHeight="1">
      <c r="A11" s="4" t="inlineStr">
        <is>
          <t>2.3</t>
        </is>
      </c>
      <c r="B11" s="5" t="inlineStr">
        <is>
          <t>Проектирование пользовательского интерфейса</t>
        </is>
      </c>
      <c r="C11" s="4" t="inlineStr">
        <is>
          <t>Must</t>
        </is>
      </c>
      <c r="D11" s="6" t="n">
        <v>20</v>
      </c>
      <c r="E11" s="6" t="n">
        <v>35</v>
      </c>
      <c r="F11" s="6" t="n">
        <v>55</v>
      </c>
      <c r="G11" s="7">
        <f>(D11+4*E11+F11)/6</f>
        <v>35.833333333333336</v>
      </c>
      <c r="H11" s="7">
        <f>(F11-D11)/6</f>
        <v>5.833333333333333</v>
      </c>
      <c r="I11" s="8" t="n">
        <v>0</v>
      </c>
      <c r="J11" s="7">
        <f>G11*(1-I11)</f>
        <v>35.833333333333336</v>
      </c>
      <c r="K11" s="7">
        <f>H11*(1-I11)</f>
        <v>5.833333333333333</v>
      </c>
      <c r="L11" s="4" t="inlineStr">
        <is>
          <t>обычная</t>
        </is>
      </c>
      <c r="M11" s="4" t="inlineStr">
        <is>
          <t>2.1, 2.2</t>
        </is>
      </c>
      <c r="N11" s="4" t="inlineStr">
        <is>
          <t>—</t>
        </is>
      </c>
      <c r="O11" s="5" t="inlineStr">
        <is>
          <t>параллельно с 2.2</t>
        </is>
      </c>
      <c r="P11" s="4" t="inlineStr">
        <is>
          <t>да</t>
        </is>
      </c>
      <c r="Q11" s="7">
        <f>IF(P11="да",J11,0)</f>
        <v>35.833333333333336</v>
      </c>
    </row>
    <row r="12" ht="30" customHeight="1">
      <c r="A12" s="4" t="inlineStr">
        <is>
          <t>2.4</t>
        </is>
      </c>
      <c r="B12" s="5" t="inlineStr">
        <is>
          <t>Подготовка среды и инструментов</t>
        </is>
      </c>
      <c r="C12" s="4" t="inlineStr">
        <is>
          <t>Must</t>
        </is>
      </c>
      <c r="D12" s="6" t="n">
        <v>10</v>
      </c>
      <c r="E12" s="6" t="n">
        <v>16</v>
      </c>
      <c r="F12" s="6" t="n">
        <v>26</v>
      </c>
      <c r="G12" s="7">
        <f>(D12+4*E12+F12)/6</f>
        <v>16.666666666666668</v>
      </c>
      <c r="H12" s="7">
        <f>(F12-D12)/6</f>
        <v>2.6666666666666665</v>
      </c>
      <c r="I12" s="8" t="n">
        <v>0</v>
      </c>
      <c r="J12" s="7">
        <f>G12*(1-I12)</f>
        <v>16.666666666666668</v>
      </c>
      <c r="K12" s="7">
        <f>H12*(1-I12)</f>
        <v>2.6666666666666665</v>
      </c>
      <c r="L12" s="4" t="inlineStr">
        <is>
          <t>обычная</t>
        </is>
      </c>
      <c r="M12" s="4" t="inlineStr">
        <is>
          <t>1.2</t>
        </is>
      </c>
      <c r="N12" s="4" t="inlineStr">
        <is>
          <t>—</t>
        </is>
      </c>
      <c r="O12" s="5" t="inlineStr">
        <is>
          <t>план утверждён на статус-дату</t>
        </is>
      </c>
      <c r="P12" s="4" t="inlineStr">
        <is>
          <t>да</t>
        </is>
      </c>
      <c r="Q12" s="7">
        <f>IF(P12="да",J12,0)</f>
        <v>16.666666666666668</v>
      </c>
    </row>
    <row r="13" ht="30" customHeight="1">
      <c r="A13" s="4" t="inlineStr">
        <is>
          <t>2.5</t>
        </is>
      </c>
      <c r="B13" s="5" t="inlineStr">
        <is>
          <t>Подготовка демонстрационных данных</t>
        </is>
      </c>
      <c r="C13" s="4" t="inlineStr">
        <is>
          <t>Must</t>
        </is>
      </c>
      <c r="D13" s="6" t="n">
        <v>12</v>
      </c>
      <c r="E13" s="6" t="n">
        <v>22</v>
      </c>
      <c r="F13" s="6" t="n">
        <v>36</v>
      </c>
      <c r="G13" s="7">
        <f>(D13+4*E13+F13)/6</f>
        <v>22.666666666666668</v>
      </c>
      <c r="H13" s="7">
        <f>(F13-D13)/6</f>
        <v>4.0</v>
      </c>
      <c r="I13" s="8" t="n">
        <v>0</v>
      </c>
      <c r="J13" s="7">
        <f>G13*(1-I13)</f>
        <v>22.666666666666668</v>
      </c>
      <c r="K13" s="7">
        <f>H13*(1-I13)</f>
        <v>4.0</v>
      </c>
      <c r="L13" s="4" t="inlineStr">
        <is>
          <t>обычная</t>
        </is>
      </c>
      <c r="M13" s="4" t="inlineStr">
        <is>
          <t>2.2, 2.4</t>
        </is>
      </c>
      <c r="N13" s="4" t="inlineStr">
        <is>
          <t>2.2, 2.4</t>
        </is>
      </c>
      <c r="O13" s="5" t="inlineStr"/>
      <c r="P13" s="4" t="inlineStr">
        <is>
          <t>да</t>
        </is>
      </c>
      <c r="Q13" s="7">
        <f>IF(P13="да",J13,0)</f>
        <v>22.666666666666668</v>
      </c>
    </row>
    <row r="14" ht="30" customHeight="1">
      <c r="A14" s="4" t="inlineStr">
        <is>
          <t>3.1</t>
        </is>
      </c>
      <c r="B14" s="5" t="inlineStr">
        <is>
          <t>Реестр лошадей и карточка лошади</t>
        </is>
      </c>
      <c r="C14" s="4" t="inlineStr">
        <is>
          <t>Must</t>
        </is>
      </c>
      <c r="D14" s="6" t="n">
        <v>28</v>
      </c>
      <c r="E14" s="6" t="n">
        <v>45</v>
      </c>
      <c r="F14" s="6" t="n">
        <v>70</v>
      </c>
      <c r="G14" s="7">
        <f>(D14+4*E14+F14)/6</f>
        <v>46.333333333333336</v>
      </c>
      <c r="H14" s="7">
        <f>(F14-D14)/6</f>
        <v>7.0</v>
      </c>
      <c r="I14" s="8" t="n">
        <v>0</v>
      </c>
      <c r="J14" s="7">
        <f>G14*(1-I14)</f>
        <v>46.333333333333336</v>
      </c>
      <c r="K14" s="7">
        <f>H14*(1-I14)</f>
        <v>7.0</v>
      </c>
      <c r="L14" s="4" t="inlineStr">
        <is>
          <t>обычная</t>
        </is>
      </c>
      <c r="M14" s="4" t="inlineStr">
        <is>
          <t>2.2, 2.3, 2.4, 2.5</t>
        </is>
      </c>
      <c r="N14" s="4" t="inlineStr">
        <is>
          <t>2.2, 2.3, 2.4, 2.5, 1.2</t>
        </is>
      </c>
      <c r="O14" s="5" t="inlineStr">
        <is>
          <t>нужны бэклог и план итерации 1</t>
        </is>
      </c>
      <c r="P14" s="4" t="inlineStr">
        <is>
          <t>да</t>
        </is>
      </c>
      <c r="Q14" s="7">
        <f>IF(P14="да",J14,0)</f>
        <v>46.333333333333336</v>
      </c>
    </row>
    <row r="15" ht="30" customHeight="1">
      <c r="A15" s="4" t="inlineStr">
        <is>
          <t>3.2</t>
        </is>
      </c>
      <c r="B15" s="5" t="inlineStr">
        <is>
          <t>Размещение и перемещения</t>
        </is>
      </c>
      <c r="C15" s="4" t="inlineStr">
        <is>
          <t>Must</t>
        </is>
      </c>
      <c r="D15" s="6" t="n">
        <v>18</v>
      </c>
      <c r="E15" s="6" t="n">
        <v>30</v>
      </c>
      <c r="F15" s="6" t="n">
        <v>48</v>
      </c>
      <c r="G15" s="7">
        <f>(D15+4*E15+F15)/6</f>
        <v>31.0</v>
      </c>
      <c r="H15" s="7">
        <f>(F15-D15)/6</f>
        <v>5.0</v>
      </c>
      <c r="I15" s="8" t="n">
        <v>0</v>
      </c>
      <c r="J15" s="7">
        <f>G15*(1-I15)</f>
        <v>31.0</v>
      </c>
      <c r="K15" s="7">
        <f>H15*(1-I15)</f>
        <v>5.0</v>
      </c>
      <c r="L15" s="4" t="inlineStr">
        <is>
          <t>обычная</t>
        </is>
      </c>
      <c r="M15" s="4" t="inlineStr">
        <is>
          <t>3.1</t>
        </is>
      </c>
      <c r="N15" s="4" t="inlineStr">
        <is>
          <t>3.1</t>
        </is>
      </c>
      <c r="O15" s="5" t="inlineStr"/>
      <c r="P15" s="4" t="inlineStr">
        <is>
          <t>да</t>
        </is>
      </c>
      <c r="Q15" s="7">
        <f>IF(P15="да",J15,0)</f>
        <v>31.0</v>
      </c>
    </row>
    <row r="16" ht="30" customHeight="1">
      <c r="A16" s="4" t="inlineStr">
        <is>
          <t>3.3</t>
        </is>
      </c>
      <c r="B16" s="5" t="inlineStr">
        <is>
          <t>Ввод записей о состоянии и происшествиях</t>
        </is>
      </c>
      <c r="C16" s="4" t="inlineStr">
        <is>
          <t>Must</t>
        </is>
      </c>
      <c r="D16" s="6" t="n">
        <v>12</v>
      </c>
      <c r="E16" s="6" t="n">
        <v>20</v>
      </c>
      <c r="F16" s="6" t="n">
        <v>32</v>
      </c>
      <c r="G16" s="7">
        <f>(D16+4*E16+F16)/6</f>
        <v>20.666666666666668</v>
      </c>
      <c r="H16" s="7">
        <f>(F16-D16)/6</f>
        <v>3.3333333333333335</v>
      </c>
      <c r="I16" s="8" t="n">
        <v>0</v>
      </c>
      <c r="J16" s="7">
        <f>G16*(1-I16)</f>
        <v>20.666666666666668</v>
      </c>
      <c r="K16" s="7">
        <f>H16*(1-I16)</f>
        <v>3.3333333333333335</v>
      </c>
      <c r="L16" s="4" t="inlineStr">
        <is>
          <t>обычная</t>
        </is>
      </c>
      <c r="M16" s="4" t="inlineStr">
        <is>
          <t>3.1, 2.3</t>
        </is>
      </c>
      <c r="N16" s="4" t="inlineStr">
        <is>
          <t>3.1, 2.3</t>
        </is>
      </c>
      <c r="O16" s="5" t="inlineStr"/>
      <c r="P16" s="4" t="inlineStr">
        <is>
          <t>да</t>
        </is>
      </c>
      <c r="Q16" s="7">
        <f>IF(P16="да",J16,0)</f>
        <v>20.666666666666668</v>
      </c>
    </row>
    <row r="17" ht="30" customHeight="1">
      <c r="A17" s="4" t="inlineStr">
        <is>
          <t>3.4</t>
        </is>
      </c>
      <c r="B17" s="5" t="inlineStr">
        <is>
          <t>Справка «История жеребца»</t>
        </is>
      </c>
      <c r="C17" s="4" t="inlineStr">
        <is>
          <t>Must</t>
        </is>
      </c>
      <c r="D17" s="6" t="n">
        <v>16</v>
      </c>
      <c r="E17" s="6" t="n">
        <v>26</v>
      </c>
      <c r="F17" s="6" t="n">
        <v>42</v>
      </c>
      <c r="G17" s="7">
        <f>(D17+4*E17+F17)/6</f>
        <v>27.0</v>
      </c>
      <c r="H17" s="7">
        <f>(F17-D17)/6</f>
        <v>4.333333333333333</v>
      </c>
      <c r="I17" s="8" t="n">
        <v>0</v>
      </c>
      <c r="J17" s="7">
        <f>G17*(1-I17)</f>
        <v>27.0</v>
      </c>
      <c r="K17" s="7">
        <f>H17*(1-I17)</f>
        <v>4.333333333333333</v>
      </c>
      <c r="L17" s="4" t="inlineStr">
        <is>
          <t>обычная</t>
        </is>
      </c>
      <c r="M17" s="4" t="inlineStr">
        <is>
          <t>3.1, 3.3, 2.5</t>
        </is>
      </c>
      <c r="N17" s="4" t="inlineStr">
        <is>
          <t>3.1, 3.3, 2.5</t>
        </is>
      </c>
      <c r="O17" s="5" t="inlineStr"/>
      <c r="P17" s="4" t="inlineStr">
        <is>
          <t>да</t>
        </is>
      </c>
      <c r="Q17" s="7">
        <f>IF(P17="да",J17,0)</f>
        <v>27.0</v>
      </c>
    </row>
    <row r="18" ht="30" customHeight="1">
      <c r="A18" s="4" t="inlineStr">
        <is>
          <t>3.5</t>
        </is>
      </c>
      <c r="B18" s="5" t="inlineStr">
        <is>
          <t>Справка «Перемещения и контакты»</t>
        </is>
      </c>
      <c r="C18" s="4" t="inlineStr">
        <is>
          <t>Must</t>
        </is>
      </c>
      <c r="D18" s="6" t="n">
        <v>16</v>
      </c>
      <c r="E18" s="6" t="n">
        <v>28</v>
      </c>
      <c r="F18" s="6" t="n">
        <v>45</v>
      </c>
      <c r="G18" s="7">
        <f>(D18+4*E18+F18)/6</f>
        <v>28.833333333333332</v>
      </c>
      <c r="H18" s="7">
        <f>(F18-D18)/6</f>
        <v>4.833333333333333</v>
      </c>
      <c r="I18" s="8" t="n">
        <v>0</v>
      </c>
      <c r="J18" s="7">
        <f>G18*(1-I18)</f>
        <v>28.833333333333332</v>
      </c>
      <c r="K18" s="7">
        <f>H18*(1-I18)</f>
        <v>4.833333333333333</v>
      </c>
      <c r="L18" s="4" t="inlineStr">
        <is>
          <t>обычная</t>
        </is>
      </c>
      <c r="M18" s="4" t="inlineStr">
        <is>
          <t>3.2, 3.3, 2.5</t>
        </is>
      </c>
      <c r="N18" s="4" t="inlineStr">
        <is>
          <t>3.2, 3.3, 2.5</t>
        </is>
      </c>
      <c r="O18" s="5" t="inlineStr"/>
      <c r="P18" s="4" t="inlineStr">
        <is>
          <t>да</t>
        </is>
      </c>
      <c r="Q18" s="7">
        <f>IF(P18="да",J18,0)</f>
        <v>28.833333333333332</v>
      </c>
    </row>
    <row r="19" ht="30" customHeight="1">
      <c r="A19" s="4" t="inlineStr">
        <is>
          <t>4.1</t>
        </is>
      </c>
      <c r="B19" s="5" t="inlineStr">
        <is>
          <t>Формализация правил совместимости</t>
        </is>
      </c>
      <c r="C19" s="4" t="inlineStr">
        <is>
          <t>Must</t>
        </is>
      </c>
      <c r="D19" s="6" t="n">
        <v>8</v>
      </c>
      <c r="E19" s="6" t="n">
        <v>14</v>
      </c>
      <c r="F19" s="6" t="n">
        <v>24</v>
      </c>
      <c r="G19" s="7">
        <f>(D19+4*E19+F19)/6</f>
        <v>14.666666666666666</v>
      </c>
      <c r="H19" s="7">
        <f>(F19-D19)/6</f>
        <v>2.6666666666666665</v>
      </c>
      <c r="I19" s="8" t="n">
        <v>0</v>
      </c>
      <c r="J19" s="7">
        <f>G19*(1-I19)</f>
        <v>14.666666666666666</v>
      </c>
      <c r="K19" s="7">
        <f>H19*(1-I19)</f>
        <v>2.6666666666666665</v>
      </c>
      <c r="L19" s="4" t="inlineStr">
        <is>
          <t>обычная</t>
        </is>
      </c>
      <c r="M19" s="4" t="inlineStr">
        <is>
          <t>2.1</t>
        </is>
      </c>
      <c r="N19" s="4" t="inlineStr">
        <is>
          <t>—</t>
        </is>
      </c>
      <c r="O19" s="5" t="inlineStr">
        <is>
          <t>2.1 в основном выполнен</t>
        </is>
      </c>
      <c r="P19" s="4" t="inlineStr">
        <is>
          <t>да</t>
        </is>
      </c>
      <c r="Q19" s="7">
        <f>IF(P19="да",J19,0)</f>
        <v>14.666666666666666</v>
      </c>
    </row>
    <row r="20" ht="30" customHeight="1">
      <c r="A20" s="4" t="inlineStr">
        <is>
          <t>4.2</t>
        </is>
      </c>
      <c r="B20" s="5" t="inlineStr">
        <is>
          <t>Проверка совместимости пар</t>
        </is>
      </c>
      <c r="C20" s="4" t="inlineStr">
        <is>
          <t>Must</t>
        </is>
      </c>
      <c r="D20" s="6" t="n">
        <v>20</v>
      </c>
      <c r="E20" s="6" t="n">
        <v>35</v>
      </c>
      <c r="F20" s="6" t="n">
        <v>55</v>
      </c>
      <c r="G20" s="7">
        <f>(D20+4*E20+F20)/6</f>
        <v>35.833333333333336</v>
      </c>
      <c r="H20" s="7">
        <f>(F20-D20)/6</f>
        <v>5.833333333333333</v>
      </c>
      <c r="I20" s="8" t="n">
        <v>0</v>
      </c>
      <c r="J20" s="7">
        <f>G20*(1-I20)</f>
        <v>35.833333333333336</v>
      </c>
      <c r="K20" s="7">
        <f>H20*(1-I20)</f>
        <v>5.833333333333333</v>
      </c>
      <c r="L20" s="4" t="inlineStr">
        <is>
          <t>обычная</t>
        </is>
      </c>
      <c r="M20" s="4" t="inlineStr">
        <is>
          <t>4.1, 3.1, 2.2</t>
        </is>
      </c>
      <c r="N20" s="4" t="inlineStr">
        <is>
          <t>4.1, 3.1, 2.2</t>
        </is>
      </c>
      <c r="O20" s="5" t="inlineStr"/>
      <c r="P20" s="4" t="inlineStr">
        <is>
          <t>да</t>
        </is>
      </c>
      <c r="Q20" s="7">
        <f>IF(P20="да",J20,0)</f>
        <v>35.833333333333336</v>
      </c>
    </row>
    <row r="21" ht="30" customHeight="1">
      <c r="A21" s="11" t="inlineStr">
        <is>
          <t>4.3</t>
        </is>
      </c>
      <c r="B21" s="12" t="inlineStr">
        <is>
          <t>Очередь и календарь жеребцов</t>
        </is>
      </c>
      <c r="C21" s="4" t="inlineStr">
        <is>
          <t>Should</t>
        </is>
      </c>
      <c r="D21" s="6" t="n">
        <v>22</v>
      </c>
      <c r="E21" s="6" t="n">
        <v>38</v>
      </c>
      <c r="F21" s="6" t="n">
        <v>60</v>
      </c>
      <c r="G21" s="7">
        <f>(D21+4*E21+F21)/6</f>
        <v>39.0</v>
      </c>
      <c r="H21" s="7">
        <f>(F21-D21)/6</f>
        <v>6.333333333333333</v>
      </c>
      <c r="I21" s="8" t="n">
        <v>0</v>
      </c>
      <c r="J21" s="7">
        <f>G21*(1-I21)</f>
        <v>39.0</v>
      </c>
      <c r="K21" s="7">
        <f>H21*(1-I21)</f>
        <v>6.333333333333333</v>
      </c>
      <c r="L21" s="4" t="inlineStr">
        <is>
          <t>обычная</t>
        </is>
      </c>
      <c r="M21" s="4" t="inlineStr">
        <is>
          <t>3.1, 2.2, 2.3</t>
        </is>
      </c>
      <c r="N21" s="4" t="inlineStr">
        <is>
          <t>3.1, 2.2, 2.3</t>
        </is>
      </c>
      <c r="O21" s="5" t="inlineStr"/>
      <c r="P21" s="4" t="inlineStr">
        <is>
          <t>нет</t>
        </is>
      </c>
      <c r="Q21" s="7">
        <f>IF(P21="да",J21,0)</f>
        <v>0.0</v>
      </c>
    </row>
    <row r="22" ht="30" customHeight="1">
      <c r="A22" s="4" t="inlineStr">
        <is>
          <t>5.1</t>
        </is>
      </c>
      <c r="B22" s="5" t="inlineStr">
        <is>
          <t>Кабинет клиента и заявки</t>
        </is>
      </c>
      <c r="C22" s="4" t="inlineStr">
        <is>
          <t>Should</t>
        </is>
      </c>
      <c r="D22" s="6" t="n">
        <v>20</v>
      </c>
      <c r="E22" s="6" t="n">
        <v>34</v>
      </c>
      <c r="F22" s="6" t="n">
        <v>52</v>
      </c>
      <c r="G22" s="7">
        <f>(D22+4*E22+F22)/6</f>
        <v>34.666666666666664</v>
      </c>
      <c r="H22" s="7">
        <f>(F22-D22)/6</f>
        <v>5.333333333333333</v>
      </c>
      <c r="I22" s="8" t="n">
        <v>0</v>
      </c>
      <c r="J22" s="7">
        <f>G22*(1-I22)</f>
        <v>34.666666666666664</v>
      </c>
      <c r="K22" s="7">
        <f>H22*(1-I22)</f>
        <v>5.333333333333333</v>
      </c>
      <c r="L22" s="4" t="inlineStr">
        <is>
          <t>обычная</t>
        </is>
      </c>
      <c r="M22" s="4" t="inlineStr">
        <is>
          <t>2.2, 2.3, 3.1</t>
        </is>
      </c>
      <c r="N22" s="4" t="inlineStr">
        <is>
          <t>2.2, 2.3, 3.1</t>
        </is>
      </c>
      <c r="O22" s="5" t="inlineStr"/>
      <c r="P22" s="4" t="inlineStr">
        <is>
          <t>да</t>
        </is>
      </c>
      <c r="Q22" s="7">
        <f>IF(P22="да",J22,0)</f>
        <v>34.666666666666664</v>
      </c>
    </row>
    <row r="23" ht="30" customHeight="1">
      <c r="A23" s="11" t="inlineStr">
        <is>
          <t>5.2</t>
        </is>
      </c>
      <c r="B23" s="12" t="inlineStr">
        <is>
          <t>Заказ семени с доставкой</t>
        </is>
      </c>
      <c r="C23" s="4" t="inlineStr">
        <is>
          <t>Should</t>
        </is>
      </c>
      <c r="D23" s="6" t="n">
        <v>10</v>
      </c>
      <c r="E23" s="6" t="n">
        <v>16</v>
      </c>
      <c r="F23" s="6" t="n">
        <v>26</v>
      </c>
      <c r="G23" s="7">
        <f>(D23+4*E23+F23)/6</f>
        <v>16.666666666666668</v>
      </c>
      <c r="H23" s="7">
        <f>(F23-D23)/6</f>
        <v>2.6666666666666665</v>
      </c>
      <c r="I23" s="8" t="n">
        <v>0</v>
      </c>
      <c r="J23" s="7">
        <f>G23*(1-I23)</f>
        <v>16.666666666666668</v>
      </c>
      <c r="K23" s="7">
        <f>H23*(1-I23)</f>
        <v>2.6666666666666665</v>
      </c>
      <c r="L23" s="4" t="inlineStr">
        <is>
          <t>обычная</t>
        </is>
      </c>
      <c r="M23" s="4" t="inlineStr">
        <is>
          <t>5.1, 4.3</t>
        </is>
      </c>
      <c r="N23" s="4" t="inlineStr">
        <is>
          <t>5.1, 4.3</t>
        </is>
      </c>
      <c r="O23" s="5" t="inlineStr"/>
      <c r="P23" s="4" t="inlineStr">
        <is>
          <t>нет</t>
        </is>
      </c>
      <c r="Q23" s="7">
        <f>IF(P23="да",J23,0)</f>
        <v>0.0</v>
      </c>
    </row>
    <row r="24" ht="30" customHeight="1">
      <c r="A24" s="11" t="inlineStr">
        <is>
          <t>5.3</t>
        </is>
      </c>
      <c r="B24" s="12" t="inlineStr">
        <is>
          <t>Счета и платежи</t>
        </is>
      </c>
      <c r="C24" s="4" t="inlineStr">
        <is>
          <t>Should</t>
        </is>
      </c>
      <c r="D24" s="6" t="n">
        <v>18</v>
      </c>
      <c r="E24" s="6" t="n">
        <v>30</v>
      </c>
      <c r="F24" s="6" t="n">
        <v>48</v>
      </c>
      <c r="G24" s="7">
        <f>(D24+4*E24+F24)/6</f>
        <v>31.0</v>
      </c>
      <c r="H24" s="7">
        <f>(F24-D24)/6</f>
        <v>5.0</v>
      </c>
      <c r="I24" s="8" t="n">
        <v>0</v>
      </c>
      <c r="J24" s="7">
        <f>G24*(1-I24)</f>
        <v>31.0</v>
      </c>
      <c r="K24" s="7">
        <f>H24*(1-I24)</f>
        <v>5.0</v>
      </c>
      <c r="L24" s="4" t="inlineStr">
        <is>
          <t>обычная</t>
        </is>
      </c>
      <c r="M24" s="4" t="inlineStr">
        <is>
          <t>5.1, 4.3, 3.1</t>
        </is>
      </c>
      <c r="N24" s="4" t="inlineStr">
        <is>
          <t>5.1, 4.3, 3.1</t>
        </is>
      </c>
      <c r="O24" s="5" t="inlineStr"/>
      <c r="P24" s="4" t="inlineStr">
        <is>
          <t>нет</t>
        </is>
      </c>
      <c r="Q24" s="7">
        <f>IF(P24="да",J24,0)</f>
        <v>0.0</v>
      </c>
    </row>
    <row r="25" ht="30" customHeight="1">
      <c r="A25" s="11" t="inlineStr">
        <is>
          <t>5.4</t>
        </is>
      </c>
      <c r="B25" s="12" t="inlineStr">
        <is>
          <t>Отчёты и напоминания (Could)</t>
        </is>
      </c>
      <c r="C25" s="4" t="inlineStr">
        <is>
          <t>Could</t>
        </is>
      </c>
      <c r="D25" s="6" t="n">
        <v>12</v>
      </c>
      <c r="E25" s="6" t="n">
        <v>20</v>
      </c>
      <c r="F25" s="6" t="n">
        <v>32</v>
      </c>
      <c r="G25" s="7">
        <f>(D25+4*E25+F25)/6</f>
        <v>20.666666666666668</v>
      </c>
      <c r="H25" s="7">
        <f>(F25-D25)/6</f>
        <v>3.3333333333333335</v>
      </c>
      <c r="I25" s="8" t="n">
        <v>0</v>
      </c>
      <c r="J25" s="7">
        <f>G25*(1-I25)</f>
        <v>20.666666666666668</v>
      </c>
      <c r="K25" s="7">
        <f>H25*(1-I25)</f>
        <v>3.3333333333333335</v>
      </c>
      <c r="L25" s="4" t="inlineStr">
        <is>
          <t>обычная</t>
        </is>
      </c>
      <c r="M25" s="4" t="inlineStr">
        <is>
          <t>3.1, 4.3, 5.3</t>
        </is>
      </c>
      <c r="N25" s="4" t="inlineStr">
        <is>
          <t>3.1, 4.3, 5.3</t>
        </is>
      </c>
      <c r="O25" s="5" t="inlineStr"/>
      <c r="P25" s="4" t="inlineStr">
        <is>
          <t>нет</t>
        </is>
      </c>
      <c r="Q25" s="7">
        <f>IF(P25="да",J25,0)</f>
        <v>0.0</v>
      </c>
    </row>
    <row r="26" ht="30" customHeight="1">
      <c r="A26" s="4" t="inlineStr">
        <is>
          <t>6.1</t>
        </is>
      </c>
      <c r="B26" s="5" t="inlineStr">
        <is>
          <t>Интеграция внешних сервисов (заглушки)</t>
        </is>
      </c>
      <c r="C26" s="4" t="inlineStr">
        <is>
          <t>Must</t>
        </is>
      </c>
      <c r="D26" s="6" t="n">
        <v>16</v>
      </c>
      <c r="E26" s="6" t="n">
        <v>28</v>
      </c>
      <c r="F26" s="6" t="n">
        <v>45</v>
      </c>
      <c r="G26" s="7">
        <f>(D26+4*E26+F26)/6</f>
        <v>28.833333333333332</v>
      </c>
      <c r="H26" s="7">
        <f>(F26-D26)/6</f>
        <v>4.833333333333333</v>
      </c>
      <c r="I26" s="8" t="n">
        <v>0</v>
      </c>
      <c r="J26" s="7">
        <f>G26*(1-I26)</f>
        <v>28.833333333333332</v>
      </c>
      <c r="K26" s="7">
        <f>H26*(1-I26)</f>
        <v>4.833333333333333</v>
      </c>
      <c r="L26" s="4" t="inlineStr">
        <is>
          <t>обычная</t>
        </is>
      </c>
      <c r="M26" s="4" t="inlineStr">
        <is>
          <t>2.2, 2.4</t>
        </is>
      </c>
      <c r="N26" s="4" t="inlineStr">
        <is>
          <t>2.2, 2.4</t>
        </is>
      </c>
      <c r="O26" s="5" t="inlineStr"/>
      <c r="P26" s="4" t="inlineStr">
        <is>
          <t>да</t>
        </is>
      </c>
      <c r="Q26" s="7">
        <f>IF(P26="да",J26,0)</f>
        <v>28.833333333333332</v>
      </c>
    </row>
    <row r="27" ht="30" customHeight="1">
      <c r="A27" s="9" t="inlineStr">
        <is>
          <t>6.2</t>
        </is>
      </c>
      <c r="B27" s="10" t="inlineStr">
        <is>
          <t>Тестирование и исправление дефектов</t>
        </is>
      </c>
      <c r="C27" s="4" t="inlineStr">
        <is>
          <t>Must</t>
        </is>
      </c>
      <c r="D27" s="6" t="n">
        <v>35</v>
      </c>
      <c r="E27" s="6" t="n">
        <v>55</v>
      </c>
      <c r="F27" s="6" t="n">
        <v>85</v>
      </c>
      <c r="G27" s="7">
        <f>(D27+4*E27+F27)/6</f>
        <v>56.666666666666664</v>
      </c>
      <c r="H27" s="7">
        <f>(F27-D27)/6</f>
        <v>8.333333333333334</v>
      </c>
      <c r="I27" s="8" t="n">
        <v>0</v>
      </c>
      <c r="J27" s="7">
        <f>G27*(1-I27)</f>
        <v>56.666666666666664</v>
      </c>
      <c r="K27" s="7">
        <f>H27*(1-I27)</f>
        <v>8.333333333333334</v>
      </c>
      <c r="L27" s="4" t="inlineStr">
        <is>
          <t>гамак</t>
        </is>
      </c>
      <c r="M27" s="4" t="inlineStr">
        <is>
          <t>3.1–5.3 (по итерациям)</t>
        </is>
      </c>
      <c r="N27" s="4" t="inlineStr">
        <is>
          <t>гамак</t>
        </is>
      </c>
      <c r="O27" s="5" t="inlineStr">
        <is>
          <t>с начала 3.1 до начала 6.3 (гамак)</t>
        </is>
      </c>
      <c r="P27" s="4" t="inlineStr">
        <is>
          <t>да</t>
        </is>
      </c>
      <c r="Q27" s="7">
        <f>IF(P27="да",J27,0)</f>
        <v>56.666666666666664</v>
      </c>
    </row>
    <row r="28" ht="30" customHeight="1">
      <c r="A28" s="4" t="inlineStr">
        <is>
          <t>6.3</t>
        </is>
      </c>
      <c r="B28" s="5" t="inlineStr">
        <is>
          <t>Демонстрации и приёмка</t>
        </is>
      </c>
      <c r="C28" s="4" t="inlineStr">
        <is>
          <t>Must</t>
        </is>
      </c>
      <c r="D28" s="6" t="n">
        <v>16</v>
      </c>
      <c r="E28" s="6" t="n">
        <v>24</v>
      </c>
      <c r="F28" s="6" t="n">
        <v>36</v>
      </c>
      <c r="G28" s="7">
        <f>(D28+4*E28+F28)/6</f>
        <v>24.666666666666668</v>
      </c>
      <c r="H28" s="7">
        <f>(F28-D28)/6</f>
        <v>3.3333333333333335</v>
      </c>
      <c r="I28" s="8" t="n">
        <v>0</v>
      </c>
      <c r="J28" s="7">
        <f>G28*(1-I28)</f>
        <v>24.666666666666668</v>
      </c>
      <c r="K28" s="7">
        <f>H28*(1-I28)</f>
        <v>3.3333333333333335</v>
      </c>
      <c r="L28" s="4" t="inlineStr">
        <is>
          <t>обычная</t>
        </is>
      </c>
      <c r="M28" s="4" t="inlineStr">
        <is>
          <t>6.2 (по итерациям)</t>
        </is>
      </c>
      <c r="N28" s="4" t="inlineStr">
        <is>
          <t>4.2, 5.1, 6.1, 6.4</t>
        </is>
      </c>
      <c r="O28" s="5" t="inlineStr">
        <is>
          <t>после всех сдаваемых пакетов</t>
        </is>
      </c>
      <c r="P28" s="4" t="inlineStr">
        <is>
          <t>да</t>
        </is>
      </c>
      <c r="Q28" s="7">
        <f>IF(P28="да",J28,0)</f>
        <v>24.666666666666668</v>
      </c>
    </row>
    <row r="29" ht="30" customHeight="1">
      <c r="A29" s="4" t="inlineStr">
        <is>
          <t>6.4</t>
        </is>
      </c>
      <c r="B29" s="5" t="inlineStr">
        <is>
          <t>Документация и приёмочные материалы</t>
        </is>
      </c>
      <c r="C29" s="4" t="inlineStr">
        <is>
          <t>Must</t>
        </is>
      </c>
      <c r="D29" s="6" t="n">
        <v>12</v>
      </c>
      <c r="E29" s="6" t="n">
        <v>18</v>
      </c>
      <c r="F29" s="6" t="n">
        <v>28</v>
      </c>
      <c r="G29" s="7">
        <f>(D29+4*E29+F29)/6</f>
        <v>18.666666666666668</v>
      </c>
      <c r="H29" s="7">
        <f>(F29-D29)/6</f>
        <v>2.6666666666666665</v>
      </c>
      <c r="I29" s="8" t="n">
        <v>0</v>
      </c>
      <c r="J29" s="7">
        <f>G29*(1-I29)</f>
        <v>18.666666666666668</v>
      </c>
      <c r="K29" s="7">
        <f>H29*(1-I29)</f>
        <v>2.6666666666666665</v>
      </c>
      <c r="L29" s="4" t="inlineStr">
        <is>
          <t>обычная</t>
        </is>
      </c>
      <c r="M29" s="4" t="inlineStr">
        <is>
          <t>1.3, 6.3</t>
        </is>
      </c>
      <c r="N29" s="4" t="inlineStr">
        <is>
          <t>3.4, 3.5</t>
        </is>
      </c>
      <c r="O29" s="5" t="inlineStr">
        <is>
          <t>руководство нужно до приёмки (критерий 15)</t>
        </is>
      </c>
      <c r="P29" s="4" t="inlineStr">
        <is>
          <t>да</t>
        </is>
      </c>
      <c r="Q29" s="7">
        <f>IF(P29="да",J29,0)</f>
        <v>18.666666666666668</v>
      </c>
    </row>
    <row r="30">
      <c r="A30" s="5" t="inlineStr"/>
      <c r="B30" s="13" t="inlineStr">
        <is>
          <t>Итого</t>
        </is>
      </c>
      <c r="D30" s="14">
        <f>SUM(D5:D29)</f>
        <v>435.0</v>
      </c>
      <c r="E30" s="14">
        <f>SUM(E5:E29)</f>
        <v>714.0</v>
      </c>
      <c r="F30" s="14">
        <f>SUM(F5:F29)</f>
        <v>1124.0</v>
      </c>
      <c r="G30" s="15">
        <f>SUM(G5:G29)</f>
        <v>735.8333333333331</v>
      </c>
      <c r="J30" s="15">
        <f>SUM(J5:J29)</f>
        <v>653.965611814346</v>
      </c>
      <c r="Q30" s="15">
        <f>SUM(Q5:Q29)</f>
        <v>546.6322784810126</v>
      </c>
    </row>
  </sheetData>
  <mergeCells count="1">
    <mergeCell ref="A2:Q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8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0" customWidth="1" min="4" max="4"/>
    <col width="10" customWidth="1" min="5" max="5"/>
    <col width="20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7" customWidth="1" min="17" max="17"/>
  </cols>
  <sheetData>
    <row r="1" ht="22" customHeight="1">
      <c r="A1" s="1" t="inlineStr">
        <is>
          <t>Расчёт сети. Вариант А: все пакеты, 54 ч/нед</t>
        </is>
      </c>
    </row>
    <row r="2" ht="18" customHeight="1">
      <c r="A2" s="2" t="inlineStr">
        <is>
          <t>Сроки в рабочих днях от 19.10.2026.</t>
        </is>
      </c>
    </row>
    <row r="4" ht="34" customHeight="1">
      <c r="A4" s="3" t="inlineStr">
        <is>
          <t>№</t>
        </is>
      </c>
      <c r="B4" s="3" t="inlineStr">
        <is>
          <t>Пакет работ</t>
        </is>
      </c>
      <c r="C4" s="3" t="inlineStr">
        <is>
          <t>Тип</t>
        </is>
      </c>
      <c r="D4" s="3" t="inlineStr">
        <is>
          <t>E ост., ч</t>
        </is>
      </c>
      <c r="E4" s="3" t="inlineStr">
        <is>
          <t>σ ост., ч</t>
        </is>
      </c>
      <c r="F4" s="3" t="inlineStr">
        <is>
          <t>Исполнители</t>
        </is>
      </c>
      <c r="G4" s="3" t="inlineStr">
        <is>
          <t>Мощность, ч/дн</t>
        </is>
      </c>
      <c r="H4" s="3" t="inlineStr">
        <is>
          <t>D, дн</t>
        </is>
      </c>
      <c r="I4" s="3" t="inlineStr">
        <is>
          <t>σ, дн</t>
        </is>
      </c>
      <c r="J4" s="3" t="inlineStr">
        <is>
          <t>ES</t>
        </is>
      </c>
      <c r="K4" s="3" t="inlineStr">
        <is>
          <t>EF</t>
        </is>
      </c>
      <c r="L4" s="3" t="inlineStr">
        <is>
          <t>LS</t>
        </is>
      </c>
      <c r="M4" s="3" t="inlineStr">
        <is>
          <t>LF</t>
        </is>
      </c>
      <c r="N4" s="3" t="inlineStr">
        <is>
          <t>Rполн</t>
        </is>
      </c>
      <c r="O4" s="3" t="inlineStr">
        <is>
          <t>Rсвоб</t>
        </is>
      </c>
      <c r="P4" s="3" t="inlineStr">
        <is>
          <t>Rнез</t>
        </is>
      </c>
      <c r="Q4" s="3" t="inlineStr">
        <is>
          <t>Крит.</t>
        </is>
      </c>
    </row>
    <row r="5" ht="21" customHeight="1">
      <c r="A5" s="11" t="inlineStr">
        <is>
          <t>1.1</t>
        </is>
      </c>
      <c r="B5" s="12" t="inlineStr">
        <is>
          <t>Инициация проекта</t>
        </is>
      </c>
      <c r="C5" s="11" t="inlineStr">
        <is>
          <t>выполнена</t>
        </is>
      </c>
      <c r="D5" s="7">
        <f>'Данные'!J5</f>
        <v>0.0</v>
      </c>
      <c r="E5" s="7">
        <f>'Данные'!K5</f>
        <v>0.0</v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—</t>
        </is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  <c r="Q5" s="11" t="inlineStr">
        <is>
          <t>—</t>
        </is>
      </c>
    </row>
    <row r="6" ht="21" customHeight="1">
      <c r="A6" s="4" t="inlineStr">
        <is>
          <t>1.2</t>
        </is>
      </c>
      <c r="B6" s="5" t="inlineStr">
        <is>
          <t>Планирование проекта</t>
        </is>
      </c>
      <c r="C6" s="4" t="inlineStr">
        <is>
          <t>обычная</t>
        </is>
      </c>
      <c r="D6" s="7">
        <f>'Данные'!J6</f>
        <v>13.066666666666666</v>
      </c>
      <c r="E6" s="7">
        <f>'Данные'!K6</f>
        <v>1.866666666666667</v>
      </c>
      <c r="F6" s="4" t="inlineStr">
        <is>
          <t>PM, TW</t>
        </is>
      </c>
      <c r="G6" s="7" t="n">
        <v>1.8</v>
      </c>
      <c r="H6" s="7">
        <f>D6/G6</f>
        <v>7.2592592592592595</v>
      </c>
      <c r="I6" s="7">
        <f>E6/G6</f>
        <v>1.0370370370370372</v>
      </c>
      <c r="J6" s="7">
        <f>0</f>
        <v>0.0</v>
      </c>
      <c r="K6" s="7">
        <f>J6+H6</f>
        <v>7.2592592592592595</v>
      </c>
      <c r="L6" s="7">
        <f>ROUND(M6-H6,9)</f>
        <v>8.319731642</v>
      </c>
      <c r="M6" s="7">
        <f>MIN(L14)</f>
        <v>15.578990901</v>
      </c>
      <c r="N6" s="7">
        <f>ROUND(L6-J6,6)</f>
        <v>8.319732</v>
      </c>
      <c r="O6" s="7">
        <f>ROUND(MIN(J14)-K6,6)</f>
        <v>8.319732</v>
      </c>
      <c r="P6" s="7">
        <f>ROUND(MAX(0,MIN(J14)-0-H6),6)</f>
        <v>8.319732</v>
      </c>
      <c r="Q6" s="4" t="str">
        <f>IF(ABS(N6)&lt;0.000001,"да","")</f>
        <v/>
      </c>
    </row>
    <row r="7" ht="21" customHeight="1">
      <c r="A7" s="9" t="inlineStr">
        <is>
          <t>1.3</t>
        </is>
      </c>
      <c r="B7" s="10" t="inlineStr">
        <is>
          <t>Мониторинг и контроль</t>
        </is>
      </c>
      <c r="C7" s="4" t="inlineStr">
        <is>
          <t>гамак</t>
        </is>
      </c>
      <c r="D7" s="7">
        <f>'Данные'!J7</f>
        <v>38.24894514767932</v>
      </c>
      <c r="E7" s="7">
        <f>'Данные'!K7</f>
        <v>5.168776371308017</v>
      </c>
      <c r="F7" s="4" t="inlineStr">
        <is>
          <t>PM</t>
        </is>
      </c>
      <c r="G7" s="4" t="inlineStr">
        <is>
          <t>—</t>
        </is>
      </c>
      <c r="H7" s="7">
        <f>K7-J7</f>
        <v>54.80155563846834</v>
      </c>
      <c r="I7" s="4" t="inlineStr">
        <is>
          <t>—</t>
        </is>
      </c>
      <c r="J7" s="7">
        <f>0</f>
        <v>0.0</v>
      </c>
      <c r="K7" s="7">
        <f>J8</f>
        <v>54.80155563846834</v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—</t>
        </is>
      </c>
      <c r="P7" s="4" t="inlineStr">
        <is>
          <t>—</t>
        </is>
      </c>
      <c r="Q7" s="4" t="inlineStr">
        <is>
          <t>—</t>
        </is>
      </c>
    </row>
    <row r="8" ht="21" customHeight="1">
      <c r="A8" s="16" t="inlineStr">
        <is>
          <t>1.4</t>
        </is>
      </c>
      <c r="B8" s="17" t="inlineStr">
        <is>
          <t>Закрытие проекта</t>
        </is>
      </c>
      <c r="C8" s="4" t="inlineStr">
        <is>
          <t>обычная</t>
        </is>
      </c>
      <c r="D8" s="7">
        <f>'Данные'!J8</f>
        <v>12.666666666666666</v>
      </c>
      <c r="E8" s="7">
        <f>'Данные'!K8</f>
        <v>2.0</v>
      </c>
      <c r="F8" s="4" t="inlineStr">
        <is>
          <t>PM, TW</t>
        </is>
      </c>
      <c r="G8" s="7" t="n">
        <v>3.2</v>
      </c>
      <c r="H8" s="7">
        <f>D8/G8</f>
        <v>3.958333333333333</v>
      </c>
      <c r="I8" s="7">
        <f>E8/G8</f>
        <v>0.625</v>
      </c>
      <c r="J8" s="7">
        <f>MAX(K28)</f>
        <v>54.80155563846834</v>
      </c>
      <c r="K8" s="7">
        <f>J8+H8</f>
        <v>58.75988897180168</v>
      </c>
      <c r="L8" s="7">
        <f>ROUND(M8-H8,9)</f>
        <v>54.801555638</v>
      </c>
      <c r="M8" s="7">
        <f>K8</f>
        <v>58.75988897180168</v>
      </c>
      <c r="N8" s="18">
        <f>ROUND(L8-J8,6)</f>
        <v>0.0</v>
      </c>
      <c r="O8" s="7">
        <f>ROUND(M8-K8,6)</f>
        <v>0.0</v>
      </c>
      <c r="P8" s="7">
        <f>ROUND(MAX(0,M8-MAX(M28)-H8),6)</f>
        <v>0.0</v>
      </c>
      <c r="Q8" s="16" t="str">
        <f>IF(ABS(N8)&lt;0.000001,"да","")</f>
        <v>да</v>
      </c>
    </row>
    <row r="9" ht="21" customHeight="1">
      <c r="A9" s="9" t="inlineStr">
        <is>
          <t>2.1</t>
        </is>
      </c>
      <c r="B9" s="10" t="inlineStr">
        <is>
          <t>Сбор и анализ требований</t>
        </is>
      </c>
      <c r="C9" s="4" t="inlineStr">
        <is>
          <t>гамак</t>
        </is>
      </c>
      <c r="D9" s="7">
        <f>'Данные'!J9</f>
        <v>8.65</v>
      </c>
      <c r="E9" s="7">
        <f>'Данные'!K9</f>
        <v>1.4500000000000002</v>
      </c>
      <c r="F9" s="4" t="inlineStr">
        <is>
          <t>BA</t>
        </is>
      </c>
      <c r="G9" s="4" t="inlineStr">
        <is>
          <t>—</t>
        </is>
      </c>
      <c r="H9" s="7">
        <f>K9-J9</f>
        <v>54.80155563846834</v>
      </c>
      <c r="I9" s="4" t="inlineStr">
        <is>
          <t>—</t>
        </is>
      </c>
      <c r="J9" s="7">
        <f>0</f>
        <v>0.0</v>
      </c>
      <c r="K9" s="7">
        <f>J8</f>
        <v>54.80155563846834</v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—</t>
        </is>
      </c>
      <c r="P9" s="4" t="inlineStr">
        <is>
          <t>—</t>
        </is>
      </c>
      <c r="Q9" s="4" t="inlineStr">
        <is>
          <t>—</t>
        </is>
      </c>
    </row>
    <row r="10" ht="21" customHeight="1">
      <c r="A10" s="16" t="inlineStr">
        <is>
          <t>2.2</t>
        </is>
      </c>
      <c r="B10" s="17" t="inlineStr">
        <is>
          <t>Проектирование архитектуры и базы данных</t>
        </is>
      </c>
      <c r="C10" s="4" t="inlineStr">
        <is>
          <t>обычная</t>
        </is>
      </c>
      <c r="D10" s="7">
        <f>'Данные'!J10</f>
        <v>31.0</v>
      </c>
      <c r="E10" s="7">
        <f>'Данные'!K10</f>
        <v>5.0</v>
      </c>
      <c r="F10" s="4" t="inlineStr">
        <is>
          <t>BE, BA</t>
        </is>
      </c>
      <c r="G10" s="7" t="n">
        <v>2.6</v>
      </c>
      <c r="H10" s="7">
        <f>D10/G10</f>
        <v>11.923076923076925</v>
      </c>
      <c r="I10" s="7">
        <f>E10/G10</f>
        <v>1.9230769230769234</v>
      </c>
      <c r="J10" s="7">
        <f>0</f>
        <v>0.0</v>
      </c>
      <c r="K10" s="7">
        <f>J10+H10</f>
        <v>11.923076923076925</v>
      </c>
      <c r="L10" s="7">
        <f>ROUND(M10-H10,9)</f>
        <v>0.0</v>
      </c>
      <c r="M10" s="7">
        <f>MIN(L13,L14,L20,L21,L22,L26)</f>
        <v>11.923076923</v>
      </c>
      <c r="N10" s="18">
        <f>ROUND(L10-J10,6)</f>
        <v>0.0</v>
      </c>
      <c r="O10" s="7">
        <f>ROUND(MIN(J13,J14,J20,J21,J22,J26)-K10,6)</f>
        <v>0.0</v>
      </c>
      <c r="P10" s="7">
        <f>ROUND(MAX(0,MIN(J13,J14,J20,J21,J22,J26)-0-H10),6)</f>
        <v>0.0</v>
      </c>
      <c r="Q10" s="16" t="str">
        <f>IF(ABS(N10)&lt;0.000001,"да","")</f>
        <v>да</v>
      </c>
    </row>
    <row r="11" ht="21" customHeight="1">
      <c r="A11" s="4" t="inlineStr">
        <is>
          <t>2.3</t>
        </is>
      </c>
      <c r="B11" s="5" t="inlineStr">
        <is>
          <t>Проектирование пользовательского интерфейса</t>
        </is>
      </c>
      <c r="C11" s="4" t="inlineStr">
        <is>
          <t>обычная</t>
        </is>
      </c>
      <c r="D11" s="7">
        <f>'Данные'!J11</f>
        <v>35.833333333333336</v>
      </c>
      <c r="E11" s="7">
        <f>'Данные'!K11</f>
        <v>5.833333333333333</v>
      </c>
      <c r="F11" s="4" t="inlineStr">
        <is>
          <t>UX1, UX2</t>
        </is>
      </c>
      <c r="G11" s="7" t="n">
        <v>3.6</v>
      </c>
      <c r="H11" s="7">
        <f>D11/G11</f>
        <v>9.953703703703704</v>
      </c>
      <c r="I11" s="7">
        <f>E11/G11</f>
        <v>1.6203703703703702</v>
      </c>
      <c r="J11" s="7">
        <f>0</f>
        <v>0.0</v>
      </c>
      <c r="K11" s="7">
        <f>J11+H11</f>
        <v>9.953703703703704</v>
      </c>
      <c r="L11" s="7">
        <f>ROUND(M11-H11,9)</f>
        <v>5.625287197</v>
      </c>
      <c r="M11" s="7">
        <f>MIN(L14,L16,L21,L22)</f>
        <v>15.578990901</v>
      </c>
      <c r="N11" s="7">
        <f>ROUND(L11-J11,6)</f>
        <v>5.625287</v>
      </c>
      <c r="O11" s="7">
        <f>ROUND(MIN(J14,J16,J21,J22)-K11,6)</f>
        <v>5.625287</v>
      </c>
      <c r="P11" s="7">
        <f>ROUND(MAX(0,MIN(J14,J16,J21,J22)-0-H11),6)</f>
        <v>5.625287</v>
      </c>
      <c r="Q11" s="4" t="str">
        <f>IF(ABS(N11)&lt;0.000001,"да","")</f>
        <v/>
      </c>
    </row>
    <row r="12" ht="21" customHeight="1">
      <c r="A12" s="4" t="inlineStr">
        <is>
          <t>2.4</t>
        </is>
      </c>
      <c r="B12" s="5" t="inlineStr">
        <is>
          <t>Подготовка среды и инструментов</t>
        </is>
      </c>
      <c r="C12" s="4" t="inlineStr">
        <is>
          <t>обычная</t>
        </is>
      </c>
      <c r="D12" s="7">
        <f>'Данные'!J12</f>
        <v>16.666666666666668</v>
      </c>
      <c r="E12" s="7">
        <f>'Данные'!K12</f>
        <v>2.6666666666666665</v>
      </c>
      <c r="F12" s="4" t="inlineStr">
        <is>
          <t>PM, QA, TW</t>
        </is>
      </c>
      <c r="G12" s="7" t="n">
        <v>3</v>
      </c>
      <c r="H12" s="7">
        <f>D12/G12</f>
        <v>5.555555555555556</v>
      </c>
      <c r="I12" s="7">
        <f>E12/G12</f>
        <v>0.8888888888888888</v>
      </c>
      <c r="J12" s="7">
        <f>0</f>
        <v>0.0</v>
      </c>
      <c r="K12" s="7">
        <f>J12+H12</f>
        <v>5.555555555555556</v>
      </c>
      <c r="L12" s="7">
        <f>ROUND(M12-H12,9)</f>
        <v>6.367521367</v>
      </c>
      <c r="M12" s="7">
        <f>MIN(L13,L14,L26)</f>
        <v>11.923076923</v>
      </c>
      <c r="N12" s="7">
        <f>ROUND(L12-J12,6)</f>
        <v>6.367521</v>
      </c>
      <c r="O12" s="7">
        <f>ROUND(MIN(J13,J14,J26)-K12,6)</f>
        <v>6.367521</v>
      </c>
      <c r="P12" s="7">
        <f>ROUND(MAX(0,MIN(J13,J14,J26)-0-H12),6)</f>
        <v>6.367521</v>
      </c>
      <c r="Q12" s="4" t="str">
        <f>IF(ABS(N12)&lt;0.000001,"да","")</f>
        <v/>
      </c>
    </row>
    <row r="13" ht="21" customHeight="1">
      <c r="A13" s="16" t="inlineStr">
        <is>
          <t>2.5</t>
        </is>
      </c>
      <c r="B13" s="17" t="inlineStr">
        <is>
          <t>Подготовка демонстрационных данных</t>
        </is>
      </c>
      <c r="C13" s="4" t="inlineStr">
        <is>
          <t>обычная</t>
        </is>
      </c>
      <c r="D13" s="7">
        <f>'Данные'!J13</f>
        <v>22.666666666666668</v>
      </c>
      <c r="E13" s="7">
        <f>'Данные'!K13</f>
        <v>4.0</v>
      </c>
      <c r="F13" s="4" t="inlineStr">
        <is>
          <t>BA, QA, UX1, UX2</t>
        </is>
      </c>
      <c r="G13" s="7" t="n">
        <v>6.199999999999999</v>
      </c>
      <c r="H13" s="7">
        <f>D13/G13</f>
        <v>3.6559139784946244</v>
      </c>
      <c r="I13" s="7">
        <f>E13/G13</f>
        <v>0.6451612903225807</v>
      </c>
      <c r="J13" s="7">
        <f>MAX(K10,K12)</f>
        <v>11.923076923076925</v>
      </c>
      <c r="K13" s="7">
        <f>J13+H13</f>
        <v>15.578990901571549</v>
      </c>
      <c r="L13" s="7">
        <f>ROUND(M13-H13,9)</f>
        <v>11.923076923</v>
      </c>
      <c r="M13" s="7">
        <f>MIN(L14,L17,L18)</f>
        <v>15.578990901</v>
      </c>
      <c r="N13" s="18">
        <f>ROUND(L13-J13,6)</f>
        <v>0.0</v>
      </c>
      <c r="O13" s="7">
        <f>ROUND(MIN(J14,J17,J18)-K13,6)</f>
        <v>0.0</v>
      </c>
      <c r="P13" s="7">
        <f>ROUND(MAX(0,MIN(J14,J17,J18)-MAX(M10,M12)-H13),6)</f>
        <v>0.0</v>
      </c>
      <c r="Q13" s="16" t="str">
        <f>IF(ABS(N13)&lt;0.000001,"да","")</f>
        <v>да</v>
      </c>
    </row>
    <row r="14" ht="21" customHeight="1">
      <c r="A14" s="16" t="inlineStr">
        <is>
          <t>3.1</t>
        </is>
      </c>
      <c r="B14" s="17" t="inlineStr">
        <is>
          <t>Реестр лошадей и карточка лошади</t>
        </is>
      </c>
      <c r="C14" s="4" t="inlineStr">
        <is>
          <t>обычная</t>
        </is>
      </c>
      <c r="D14" s="7">
        <f>'Данные'!J14</f>
        <v>46.333333333333336</v>
      </c>
      <c r="E14" s="7">
        <f>'Данные'!K14</f>
        <v>7.0</v>
      </c>
      <c r="F14" s="4" t="inlineStr">
        <is>
          <t>BE, BA, UX1, UX2</t>
        </is>
      </c>
      <c r="G14" s="7" t="n">
        <v>6.199999999999999</v>
      </c>
      <c r="H14" s="7">
        <f>D14/G14</f>
        <v>7.473118279569894</v>
      </c>
      <c r="I14" s="7">
        <f>E14/G14</f>
        <v>1.1290322580645162</v>
      </c>
      <c r="J14" s="7">
        <f>MAX(K10,K11,K12,K13,K6)</f>
        <v>15.578990901571549</v>
      </c>
      <c r="K14" s="7">
        <f>J14+H14</f>
        <v>23.052109181141443</v>
      </c>
      <c r="L14" s="7">
        <f>ROUND(M14-H14,9)</f>
        <v>15.578990901</v>
      </c>
      <c r="M14" s="7">
        <f>MIN(L15,L16,L17,L20,L21,L22,L24,L25)</f>
        <v>23.052109181</v>
      </c>
      <c r="N14" s="18">
        <f>ROUND(L14-J14,6)</f>
        <v>0.0</v>
      </c>
      <c r="O14" s="7">
        <f>ROUND(MIN(J15,J16,J17,J20,J21,J22,J24,J25)-K14,6)</f>
        <v>0.0</v>
      </c>
      <c r="P14" s="7">
        <f>ROUND(MAX(0,MIN(J15,J16,J17,J20,J21,J22,J24,J25)-MAX(M10,M11,M12,M13,M6)-H14),6)</f>
        <v>0.0</v>
      </c>
      <c r="Q14" s="16" t="str">
        <f>IF(ABS(N14)&lt;0.000001,"да","")</f>
        <v>да</v>
      </c>
    </row>
    <row r="15" ht="21" customHeight="1">
      <c r="A15" s="16" t="inlineStr">
        <is>
          <t>3.2</t>
        </is>
      </c>
      <c r="B15" s="17" t="inlineStr">
        <is>
          <t>Размещение и перемещения</t>
        </is>
      </c>
      <c r="C15" s="4" t="inlineStr">
        <is>
          <t>обычная</t>
        </is>
      </c>
      <c r="D15" s="7">
        <f>'Данные'!J15</f>
        <v>31.0</v>
      </c>
      <c r="E15" s="7">
        <f>'Данные'!K15</f>
        <v>5.0</v>
      </c>
      <c r="F15" s="4" t="inlineStr">
        <is>
          <t>BE, UX1</t>
        </is>
      </c>
      <c r="G15" s="7" t="n">
        <v>3.2</v>
      </c>
      <c r="H15" s="7">
        <f>D15/G15</f>
        <v>9.6875</v>
      </c>
      <c r="I15" s="7">
        <f>E15/G15</f>
        <v>1.5625</v>
      </c>
      <c r="J15" s="7">
        <f>MAX(K14)</f>
        <v>23.052109181141443</v>
      </c>
      <c r="K15" s="7">
        <f>J15+H15</f>
        <v>32.73960918114145</v>
      </c>
      <c r="L15" s="7">
        <f>ROUND(M15-H15,9)</f>
        <v>23.052109181</v>
      </c>
      <c r="M15" s="7">
        <f>MIN(L18)</f>
        <v>32.739609181</v>
      </c>
      <c r="N15" s="18">
        <f>ROUND(L15-J15,6)</f>
        <v>0.0</v>
      </c>
      <c r="O15" s="7">
        <f>ROUND(MIN(J18)-K15,6)</f>
        <v>0.0</v>
      </c>
      <c r="P15" s="7">
        <f>ROUND(MAX(0,MIN(J18)-MAX(M14)-H15),6)</f>
        <v>0.0</v>
      </c>
      <c r="Q15" s="16" t="str">
        <f>IF(ABS(N15)&lt;0.000001,"да","")</f>
        <v>да</v>
      </c>
    </row>
    <row r="16" ht="21" customHeight="1">
      <c r="A16" s="4" t="inlineStr">
        <is>
          <t>3.3</t>
        </is>
      </c>
      <c r="B16" s="5" t="inlineStr">
        <is>
          <t>Ввод записей о состоянии и происшествиях</t>
        </is>
      </c>
      <c r="C16" s="4" t="inlineStr">
        <is>
          <t>обычная</t>
        </is>
      </c>
      <c r="D16" s="7">
        <f>'Данные'!J16</f>
        <v>20.666666666666668</v>
      </c>
      <c r="E16" s="7">
        <f>'Данные'!K16</f>
        <v>3.3333333333333335</v>
      </c>
      <c r="F16" s="4" t="inlineStr">
        <is>
          <t>BA, UX2</t>
        </is>
      </c>
      <c r="G16" s="7" t="n">
        <v>3</v>
      </c>
      <c r="H16" s="7">
        <f>D16/G16</f>
        <v>6.888888888888889</v>
      </c>
      <c r="I16" s="7">
        <f>E16/G16</f>
        <v>1.1111111111111112</v>
      </c>
      <c r="J16" s="7">
        <f>MAX(K14,K11)</f>
        <v>23.052109181141443</v>
      </c>
      <c r="K16" s="7">
        <f>J16+H16</f>
        <v>29.940998070030332</v>
      </c>
      <c r="L16" s="7">
        <f>ROUND(M16-H16,9)</f>
        <v>25.850720292</v>
      </c>
      <c r="M16" s="7">
        <f>MIN(L17,L18)</f>
        <v>32.739609181</v>
      </c>
      <c r="N16" s="7">
        <f>ROUND(L16-J16,6)</f>
        <v>2.798611</v>
      </c>
      <c r="O16" s="7">
        <f>ROUND(MIN(J17,J18)-K16,6)</f>
        <v>0.0</v>
      </c>
      <c r="P16" s="7">
        <f>ROUND(MAX(0,MIN(J17,J18)-MAX(M14,M11)-H16),6)</f>
        <v>0.0</v>
      </c>
      <c r="Q16" s="4" t="str">
        <f>IF(ABS(N16)&lt;0.000001,"да","")</f>
        <v/>
      </c>
    </row>
    <row r="17" ht="21" customHeight="1">
      <c r="A17" s="4" t="inlineStr">
        <is>
          <t>3.4</t>
        </is>
      </c>
      <c r="B17" s="5" t="inlineStr">
        <is>
          <t>Справка «История жеребца»</t>
        </is>
      </c>
      <c r="C17" s="4" t="inlineStr">
        <is>
          <t>обычная</t>
        </is>
      </c>
      <c r="D17" s="7">
        <f>'Данные'!J17</f>
        <v>27.0</v>
      </c>
      <c r="E17" s="7">
        <f>'Данные'!K17</f>
        <v>4.333333333333333</v>
      </c>
      <c r="F17" s="4" t="inlineStr">
        <is>
          <t>BA, UX2</t>
        </is>
      </c>
      <c r="G17" s="7" t="n">
        <v>3</v>
      </c>
      <c r="H17" s="7">
        <f>D17/G17</f>
        <v>9.0</v>
      </c>
      <c r="I17" s="7">
        <f>E17/G17</f>
        <v>1.4444444444444444</v>
      </c>
      <c r="J17" s="7">
        <f>MAX(K14,K16,K13)</f>
        <v>29.940998070030332</v>
      </c>
      <c r="K17" s="7">
        <f>J17+H17</f>
        <v>38.94099807003033</v>
      </c>
      <c r="L17" s="7">
        <f>ROUND(M17-H17,9)</f>
        <v>32.750025848</v>
      </c>
      <c r="M17" s="7">
        <f>MIN(L29)</f>
        <v>41.750025848</v>
      </c>
      <c r="N17" s="7">
        <f>ROUND(L17-J17,6)</f>
        <v>2.809028</v>
      </c>
      <c r="O17" s="7">
        <f>ROUND(MIN(J29)-K17,6)</f>
        <v>2.809028</v>
      </c>
      <c r="P17" s="7">
        <f>ROUND(MAX(0,MIN(J29)-MAX(M14,M16,M13)-H17),6)</f>
        <v>0.010417</v>
      </c>
      <c r="Q17" s="4" t="str">
        <f>IF(ABS(N17)&lt;0.000001,"да","")</f>
        <v/>
      </c>
    </row>
    <row r="18" ht="21" customHeight="1">
      <c r="A18" s="16" t="inlineStr">
        <is>
          <t>3.5</t>
        </is>
      </c>
      <c r="B18" s="17" t="inlineStr">
        <is>
          <t>Справка «Перемещения и контакты»</t>
        </is>
      </c>
      <c r="C18" s="4" t="inlineStr">
        <is>
          <t>обычная</t>
        </is>
      </c>
      <c r="D18" s="7">
        <f>'Данные'!J18</f>
        <v>28.833333333333332</v>
      </c>
      <c r="E18" s="7">
        <f>'Данные'!K18</f>
        <v>4.833333333333333</v>
      </c>
      <c r="F18" s="4" t="inlineStr">
        <is>
          <t>BE, UX1</t>
        </is>
      </c>
      <c r="G18" s="7" t="n">
        <v>3.2</v>
      </c>
      <c r="H18" s="7">
        <f>D18/G18</f>
        <v>9.010416666666666</v>
      </c>
      <c r="I18" s="7">
        <f>E18/G18</f>
        <v>1.5104166666666665</v>
      </c>
      <c r="J18" s="7">
        <f>MAX(K15,K16,K13)</f>
        <v>32.73960918114145</v>
      </c>
      <c r="K18" s="7">
        <f>J18+H18</f>
        <v>41.75002584780811</v>
      </c>
      <c r="L18" s="7">
        <f>ROUND(M18-H18,9)</f>
        <v>32.739609181</v>
      </c>
      <c r="M18" s="7">
        <f>MIN(L29)</f>
        <v>41.750025848</v>
      </c>
      <c r="N18" s="18">
        <f>ROUND(L18-J18,6)</f>
        <v>0.0</v>
      </c>
      <c r="O18" s="7">
        <f>ROUND(MIN(J29)-K18,6)</f>
        <v>0.0</v>
      </c>
      <c r="P18" s="7">
        <f>ROUND(MAX(0,MIN(J29)-MAX(M15,M16,M13)-H18),6)</f>
        <v>0.0</v>
      </c>
      <c r="Q18" s="16" t="str">
        <f>IF(ABS(N18)&lt;0.000001,"да","")</f>
        <v>да</v>
      </c>
    </row>
    <row r="19" ht="21" customHeight="1">
      <c r="A19" s="4" t="inlineStr">
        <is>
          <t>4.1</t>
        </is>
      </c>
      <c r="B19" s="5" t="inlineStr">
        <is>
          <t>Формализация правил совместимости</t>
        </is>
      </c>
      <c r="C19" s="4" t="inlineStr">
        <is>
          <t>обычная</t>
        </is>
      </c>
      <c r="D19" s="7">
        <f>'Данные'!J19</f>
        <v>14.666666666666666</v>
      </c>
      <c r="E19" s="7">
        <f>'Данные'!K19</f>
        <v>2.6666666666666665</v>
      </c>
      <c r="F19" s="4" t="inlineStr">
        <is>
          <t>PM, TW</t>
        </is>
      </c>
      <c r="G19" s="7" t="n">
        <v>1.8</v>
      </c>
      <c r="H19" s="7">
        <f>D19/G19</f>
        <v>8.148148148148149</v>
      </c>
      <c r="I19" s="7">
        <f>E19/G19</f>
        <v>1.4814814814814816</v>
      </c>
      <c r="J19" s="7">
        <f>0</f>
        <v>0.0</v>
      </c>
      <c r="K19" s="7">
        <f>J19+H19</f>
        <v>8.148148148148149</v>
      </c>
      <c r="L19" s="7">
        <f>ROUND(M19-H19,9)</f>
        <v>32.774331403</v>
      </c>
      <c r="M19" s="7">
        <f>MIN(L20)</f>
        <v>40.922479551</v>
      </c>
      <c r="N19" s="7">
        <f>ROUND(L19-J19,6)</f>
        <v>32.774331</v>
      </c>
      <c r="O19" s="7">
        <f>ROUND(MIN(J20)-K19,6)</f>
        <v>14.903961</v>
      </c>
      <c r="P19" s="7">
        <f>ROUND(MAX(0,MIN(J20)-0-H19),6)</f>
        <v>14.903961</v>
      </c>
      <c r="Q19" s="4" t="str">
        <f>IF(ABS(N19)&lt;0.000001,"да","")</f>
        <v/>
      </c>
    </row>
    <row r="20" ht="21" customHeight="1">
      <c r="A20" s="4" t="inlineStr">
        <is>
          <t>4.2</t>
        </is>
      </c>
      <c r="B20" s="5" t="inlineStr">
        <is>
          <t>Проверка совместимости пар</t>
        </is>
      </c>
      <c r="C20" s="4" t="inlineStr">
        <is>
          <t>обычная</t>
        </is>
      </c>
      <c r="D20" s="7">
        <f>'Данные'!J20</f>
        <v>35.833333333333336</v>
      </c>
      <c r="E20" s="7">
        <f>'Данные'!K20</f>
        <v>5.833333333333333</v>
      </c>
      <c r="F20" s="4" t="inlineStr">
        <is>
          <t>BE, UX1</t>
        </is>
      </c>
      <c r="G20" s="7" t="n">
        <v>3.2</v>
      </c>
      <c r="H20" s="7">
        <f>D20/G20</f>
        <v>11.197916666666666</v>
      </c>
      <c r="I20" s="7">
        <f>E20/G20</f>
        <v>1.8229166666666665</v>
      </c>
      <c r="J20" s="7">
        <f>MAX(K19,K14,K10)</f>
        <v>23.052109181141443</v>
      </c>
      <c r="K20" s="7">
        <f>J20+H20</f>
        <v>34.25002584780811</v>
      </c>
      <c r="L20" s="7">
        <f>ROUND(M20-H20,9)</f>
        <v>40.922479551</v>
      </c>
      <c r="M20" s="7">
        <f>MIN(L28)</f>
        <v>52.120396218</v>
      </c>
      <c r="N20" s="7">
        <f>ROUND(L20-J20,6)</f>
        <v>17.87037</v>
      </c>
      <c r="O20" s="7">
        <f>ROUND(MIN(J28)-K20,6)</f>
        <v>17.87037</v>
      </c>
      <c r="P20" s="7">
        <f>ROUND(MAX(0,MIN(J28)-MAX(M19,M14,M10)-H20),6)</f>
        <v>0.0</v>
      </c>
      <c r="Q20" s="4" t="str">
        <f>IF(ABS(N20)&lt;0.000001,"да","")</f>
        <v/>
      </c>
    </row>
    <row r="21" ht="21" customHeight="1">
      <c r="A21" s="4" t="inlineStr">
        <is>
          <t>4.3</t>
        </is>
      </c>
      <c r="B21" s="5" t="inlineStr">
        <is>
          <t>Очередь и календарь жеребцов</t>
        </is>
      </c>
      <c r="C21" s="4" t="inlineStr">
        <is>
          <t>обычная</t>
        </is>
      </c>
      <c r="D21" s="7">
        <f>'Данные'!J21</f>
        <v>39.0</v>
      </c>
      <c r="E21" s="7">
        <f>'Данные'!K21</f>
        <v>6.333333333333333</v>
      </c>
      <c r="F21" s="4" t="inlineStr">
        <is>
          <t>BE, UX1</t>
        </is>
      </c>
      <c r="G21" s="7" t="n">
        <v>3.2</v>
      </c>
      <c r="H21" s="7">
        <f>D21/G21</f>
        <v>12.1875</v>
      </c>
      <c r="I21" s="7">
        <f>E21/G21</f>
        <v>1.9791666666666665</v>
      </c>
      <c r="J21" s="7">
        <f>MAX(K14,K10,K11)</f>
        <v>23.052109181141443</v>
      </c>
      <c r="K21" s="7">
        <f>J21+H21</f>
        <v>35.23960918114145</v>
      </c>
      <c r="L21" s="7">
        <f>ROUND(M21-H21,9)</f>
        <v>23.356507329</v>
      </c>
      <c r="M21" s="7">
        <f>MIN(L23,L24,L25)</f>
        <v>35.544007329</v>
      </c>
      <c r="N21" s="7">
        <f>ROUND(L21-J21,6)</f>
        <v>0.304398</v>
      </c>
      <c r="O21" s="7">
        <f>ROUND(MIN(J23,J24,J25)-K21,6)</f>
        <v>0.0</v>
      </c>
      <c r="P21" s="7">
        <f>ROUND(MAX(0,MIN(J23,J24,J25)-MAX(M14,M10,M11)-H21),6)</f>
        <v>0.0</v>
      </c>
      <c r="Q21" s="4" t="str">
        <f>IF(ABS(N21)&lt;0.000001,"да","")</f>
        <v/>
      </c>
    </row>
    <row r="22" ht="21" customHeight="1">
      <c r="A22" s="4" t="inlineStr">
        <is>
          <t>5.1</t>
        </is>
      </c>
      <c r="B22" s="5" t="inlineStr">
        <is>
          <t>Кабинет клиента и заявки</t>
        </is>
      </c>
      <c r="C22" s="4" t="inlineStr">
        <is>
          <t>обычная</t>
        </is>
      </c>
      <c r="D22" s="7">
        <f>'Данные'!J22</f>
        <v>34.666666666666664</v>
      </c>
      <c r="E22" s="7">
        <f>'Данные'!K22</f>
        <v>5.333333333333333</v>
      </c>
      <c r="F22" s="4" t="inlineStr">
        <is>
          <t>BA, UX2</t>
        </is>
      </c>
      <c r="G22" s="7" t="n">
        <v>3</v>
      </c>
      <c r="H22" s="7">
        <f>D22/G22</f>
        <v>11.555555555555555</v>
      </c>
      <c r="I22" s="7">
        <f>E22/G22</f>
        <v>1.7777777777777777</v>
      </c>
      <c r="J22" s="7">
        <f>MAX(K10,K11,K14)</f>
        <v>23.052109181141443</v>
      </c>
      <c r="K22" s="7">
        <f>J22+H22</f>
        <v>34.607664736697</v>
      </c>
      <c r="L22" s="7">
        <f>ROUND(M22-H22,9)</f>
        <v>23.988451773</v>
      </c>
      <c r="M22" s="7">
        <f>MIN(L23,L24)</f>
        <v>35.544007329</v>
      </c>
      <c r="N22" s="7">
        <f>ROUND(L22-J22,6)</f>
        <v>0.936343</v>
      </c>
      <c r="O22" s="7">
        <f>ROUND(MIN(J23,J24)-K22,6)</f>
        <v>0.631944</v>
      </c>
      <c r="P22" s="7">
        <f>ROUND(MAX(0,MIN(J23,J24)-MAX(M10,M11,M14)-H22),6)</f>
        <v>0.631944</v>
      </c>
      <c r="Q22" s="4" t="str">
        <f>IF(ABS(N22)&lt;0.000001,"да","")</f>
        <v/>
      </c>
    </row>
    <row r="23" ht="21" customHeight="1">
      <c r="A23" s="4" t="inlineStr">
        <is>
          <t>5.2</t>
        </is>
      </c>
      <c r="B23" s="5" t="inlineStr">
        <is>
          <t>Заказ семени с доставкой</t>
        </is>
      </c>
      <c r="C23" s="4" t="inlineStr">
        <is>
          <t>обычная</t>
        </is>
      </c>
      <c r="D23" s="7">
        <f>'Данные'!J23</f>
        <v>16.666666666666668</v>
      </c>
      <c r="E23" s="7">
        <f>'Данные'!K23</f>
        <v>2.6666666666666665</v>
      </c>
      <c r="F23" s="4" t="inlineStr">
        <is>
          <t>BA, UX2</t>
        </is>
      </c>
      <c r="G23" s="7" t="n">
        <v>3</v>
      </c>
      <c r="H23" s="7">
        <f>D23/G23</f>
        <v>5.555555555555556</v>
      </c>
      <c r="I23" s="7">
        <f>E23/G23</f>
        <v>0.8888888888888888</v>
      </c>
      <c r="J23" s="7">
        <f>MAX(K22,K21)</f>
        <v>35.23960918114145</v>
      </c>
      <c r="K23" s="7">
        <f>J23+H23</f>
        <v>40.795164736697004</v>
      </c>
      <c r="L23" s="7">
        <f>ROUND(M23-H23,9)</f>
        <v>46.564840662</v>
      </c>
      <c r="M23" s="7">
        <f>MIN(L28)</f>
        <v>52.120396218</v>
      </c>
      <c r="N23" s="7">
        <f>ROUND(L23-J23,6)</f>
        <v>11.325231</v>
      </c>
      <c r="O23" s="7">
        <f>ROUND(MIN(J28)-K23,6)</f>
        <v>11.325231</v>
      </c>
      <c r="P23" s="7">
        <f>ROUND(MAX(0,MIN(J28)-MAX(M22,M21)-H23),6)</f>
        <v>11.020833</v>
      </c>
      <c r="Q23" s="4" t="str">
        <f>IF(ABS(N23)&lt;0.000001,"да","")</f>
        <v/>
      </c>
    </row>
    <row r="24" ht="21" customHeight="1">
      <c r="A24" s="4" t="inlineStr">
        <is>
          <t>5.3</t>
        </is>
      </c>
      <c r="B24" s="5" t="inlineStr">
        <is>
          <t>Счета и платежи</t>
        </is>
      </c>
      <c r="C24" s="4" t="inlineStr">
        <is>
          <t>обычная</t>
        </is>
      </c>
      <c r="D24" s="7">
        <f>'Данные'!J24</f>
        <v>31.0</v>
      </c>
      <c r="E24" s="7">
        <f>'Данные'!K24</f>
        <v>5.0</v>
      </c>
      <c r="F24" s="4" t="inlineStr">
        <is>
          <t>BE, UX1</t>
        </is>
      </c>
      <c r="G24" s="7" t="n">
        <v>3.2</v>
      </c>
      <c r="H24" s="7">
        <f>D24/G24</f>
        <v>9.6875</v>
      </c>
      <c r="I24" s="7">
        <f>E24/G24</f>
        <v>1.5625</v>
      </c>
      <c r="J24" s="7">
        <f>MAX(K22,K21,K14)</f>
        <v>35.23960918114145</v>
      </c>
      <c r="K24" s="7">
        <f>J24+H24</f>
        <v>44.92710918114145</v>
      </c>
      <c r="L24" s="7">
        <f>ROUND(M24-H24,9)</f>
        <v>35.544007329</v>
      </c>
      <c r="M24" s="7">
        <f>MIN(L25)</f>
        <v>45.231507329</v>
      </c>
      <c r="N24" s="7">
        <f>ROUND(L24-J24,6)</f>
        <v>0.304398</v>
      </c>
      <c r="O24" s="7">
        <f>ROUND(MIN(J25)-K24,6)</f>
        <v>0.0</v>
      </c>
      <c r="P24" s="7">
        <f>ROUND(MAX(0,MIN(J25)-MAX(M22,M21,M14)-H24),6)</f>
        <v>0.0</v>
      </c>
      <c r="Q24" s="4" t="str">
        <f>IF(ABS(N24)&lt;0.000001,"да","")</f>
        <v/>
      </c>
    </row>
    <row r="25" ht="21" customHeight="1">
      <c r="A25" s="4" t="inlineStr">
        <is>
          <t>5.4</t>
        </is>
      </c>
      <c r="B25" s="5" t="inlineStr">
        <is>
          <t>Отчёты и напоминания (Could)</t>
        </is>
      </c>
      <c r="C25" s="4" t="inlineStr">
        <is>
          <t>обычная</t>
        </is>
      </c>
      <c r="D25" s="7">
        <f>'Данные'!J25</f>
        <v>20.666666666666668</v>
      </c>
      <c r="E25" s="7">
        <f>'Данные'!K25</f>
        <v>3.3333333333333335</v>
      </c>
      <c r="F25" s="4" t="inlineStr">
        <is>
          <t>BA, UX2</t>
        </is>
      </c>
      <c r="G25" s="7" t="n">
        <v>3</v>
      </c>
      <c r="H25" s="7">
        <f>D25/G25</f>
        <v>6.888888888888889</v>
      </c>
      <c r="I25" s="7">
        <f>E25/G25</f>
        <v>1.1111111111111112</v>
      </c>
      <c r="J25" s="7">
        <f>MAX(K14,K21,K24)</f>
        <v>44.92710918114145</v>
      </c>
      <c r="K25" s="7">
        <f>J25+H25</f>
        <v>51.81599807003033</v>
      </c>
      <c r="L25" s="7">
        <f>ROUND(M25-H25,9)</f>
        <v>45.231507329</v>
      </c>
      <c r="M25" s="7">
        <f>MIN(L28)</f>
        <v>52.120396218</v>
      </c>
      <c r="N25" s="7">
        <f>ROUND(L25-J25,6)</f>
        <v>0.304398</v>
      </c>
      <c r="O25" s="7">
        <f>ROUND(MIN(J28)-K25,6)</f>
        <v>0.304398</v>
      </c>
      <c r="P25" s="7">
        <f>ROUND(MAX(0,MIN(J28)-MAX(M14,M21,M24)-H25),6)</f>
        <v>0.0</v>
      </c>
      <c r="Q25" s="4" t="str">
        <f>IF(ABS(N25)&lt;0.000001,"да","")</f>
        <v/>
      </c>
    </row>
    <row r="26" ht="21" customHeight="1">
      <c r="A26" s="4" t="inlineStr">
        <is>
          <t>6.1</t>
        </is>
      </c>
      <c r="B26" s="5" t="inlineStr">
        <is>
          <t>Интеграция внешних сервисов (заглушки)</t>
        </is>
      </c>
      <c r="C26" s="4" t="inlineStr">
        <is>
          <t>обычная</t>
        </is>
      </c>
      <c r="D26" s="7">
        <f>'Данные'!J26</f>
        <v>28.833333333333332</v>
      </c>
      <c r="E26" s="7">
        <f>'Данные'!K26</f>
        <v>4.833333333333333</v>
      </c>
      <c r="F26" s="4" t="inlineStr">
        <is>
          <t>PM, TW</t>
        </is>
      </c>
      <c r="G26" s="7" t="n">
        <v>1.8</v>
      </c>
      <c r="H26" s="7">
        <f>D26/G26</f>
        <v>16.01851851851852</v>
      </c>
      <c r="I26" s="7">
        <f>E26/G26</f>
        <v>2.685185185185185</v>
      </c>
      <c r="J26" s="7">
        <f>MAX(K10,K12)</f>
        <v>11.923076923076925</v>
      </c>
      <c r="K26" s="7">
        <f>J26+H26</f>
        <v>27.941595441595446</v>
      </c>
      <c r="L26" s="7">
        <f>ROUND(M26-H26,9)</f>
        <v>36.101877699</v>
      </c>
      <c r="M26" s="7">
        <f>MIN(L28)</f>
        <v>52.120396218</v>
      </c>
      <c r="N26" s="7">
        <f>ROUND(L26-J26,6)</f>
        <v>24.178801</v>
      </c>
      <c r="O26" s="7">
        <f>ROUND(MIN(J28)-K26,6)</f>
        <v>24.178801</v>
      </c>
      <c r="P26" s="7">
        <f>ROUND(MAX(0,MIN(J28)-MAX(M10,M12)-H26),6)</f>
        <v>24.178801</v>
      </c>
      <c r="Q26" s="4" t="str">
        <f>IF(ABS(N26)&lt;0.000001,"да","")</f>
        <v/>
      </c>
    </row>
    <row r="27" ht="21" customHeight="1">
      <c r="A27" s="9" t="inlineStr">
        <is>
          <t>6.2</t>
        </is>
      </c>
      <c r="B27" s="10" t="inlineStr">
        <is>
          <t>Тестирование и исправление дефектов</t>
        </is>
      </c>
      <c r="C27" s="4" t="inlineStr">
        <is>
          <t>гамак</t>
        </is>
      </c>
      <c r="D27" s="7">
        <f>'Данные'!J27</f>
        <v>56.666666666666664</v>
      </c>
      <c r="E27" s="7">
        <f>'Данные'!K27</f>
        <v>8.333333333333334</v>
      </c>
      <c r="F27" s="4" t="inlineStr">
        <is>
          <t>QA, TW</t>
        </is>
      </c>
      <c r="G27" s="4" t="inlineStr">
        <is>
          <t>—</t>
        </is>
      </c>
      <c r="H27" s="7">
        <f>K27-J27</f>
        <v>36.541405316606934</v>
      </c>
      <c r="I27" s="4" t="inlineStr">
        <is>
          <t>—</t>
        </is>
      </c>
      <c r="J27" s="7">
        <f>J14</f>
        <v>15.578990901571549</v>
      </c>
      <c r="K27" s="7">
        <f>J28</f>
        <v>52.120396218178485</v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—</t>
        </is>
      </c>
      <c r="P27" s="4" t="inlineStr">
        <is>
          <t>—</t>
        </is>
      </c>
      <c r="Q27" s="4" t="inlineStr">
        <is>
          <t>—</t>
        </is>
      </c>
    </row>
    <row r="28" ht="21" customHeight="1">
      <c r="A28" s="16" t="inlineStr">
        <is>
          <t>6.3</t>
        </is>
      </c>
      <c r="B28" s="17" t="inlineStr">
        <is>
          <t>Демонстрации и приёмка</t>
        </is>
      </c>
      <c r="C28" s="4" t="inlineStr">
        <is>
          <t>обычная</t>
        </is>
      </c>
      <c r="D28" s="7">
        <f>'Данные'!J28</f>
        <v>24.666666666666668</v>
      </c>
      <c r="E28" s="7">
        <f>'Данные'!K28</f>
        <v>3.3333333333333335</v>
      </c>
      <c r="F28" s="4" t="inlineStr">
        <is>
          <t>PM, BA, UX1, UX2, QA, TW, BE</t>
        </is>
      </c>
      <c r="G28" s="7" t="n">
        <v>9.199999999999999</v>
      </c>
      <c r="H28" s="7">
        <f>D28/G28</f>
        <v>2.6811594202898554</v>
      </c>
      <c r="I28" s="7">
        <f>E28/G28</f>
        <v>0.3623188405797102</v>
      </c>
      <c r="J28" s="7">
        <f>MAX(K20,K23,K25,K26,K29)</f>
        <v>52.120396218178485</v>
      </c>
      <c r="K28" s="7">
        <f>J28+H28</f>
        <v>54.80155563846834</v>
      </c>
      <c r="L28" s="7">
        <f>ROUND(M28-H28,9)</f>
        <v>52.120396218</v>
      </c>
      <c r="M28" s="7">
        <f>MIN(L8)</f>
        <v>54.801555638</v>
      </c>
      <c r="N28" s="18">
        <f>ROUND(L28-J28,6)</f>
        <v>0.0</v>
      </c>
      <c r="O28" s="7">
        <f>ROUND(MIN(J8)-K28,6)</f>
        <v>0.0</v>
      </c>
      <c r="P28" s="7">
        <f>ROUND(MAX(0,MIN(J8)-MAX(M20,M23,M25,M26,M29)-H28),6)</f>
        <v>0.0</v>
      </c>
      <c r="Q28" s="16" t="str">
        <f>IF(ABS(N28)&lt;0.000001,"да","")</f>
        <v>да</v>
      </c>
    </row>
    <row r="29" ht="21" customHeight="1">
      <c r="A29" s="16" t="inlineStr">
        <is>
          <t>6.4</t>
        </is>
      </c>
      <c r="B29" s="17" t="inlineStr">
        <is>
          <t>Документация и приёмочные материалы</t>
        </is>
      </c>
      <c r="C29" s="4" t="inlineStr">
        <is>
          <t>обычная</t>
        </is>
      </c>
      <c r="D29" s="7">
        <f>'Данные'!J29</f>
        <v>18.666666666666668</v>
      </c>
      <c r="E29" s="7">
        <f>'Данные'!K29</f>
        <v>2.6666666666666665</v>
      </c>
      <c r="F29" s="4" t="inlineStr">
        <is>
          <t>TW, PM</t>
        </is>
      </c>
      <c r="G29" s="7" t="n">
        <v>1.8</v>
      </c>
      <c r="H29" s="7">
        <f>D29/G29</f>
        <v>10.370370370370372</v>
      </c>
      <c r="I29" s="7">
        <f>E29/G29</f>
        <v>1.4814814814814816</v>
      </c>
      <c r="J29" s="7">
        <f>MAX(K17,K18)</f>
        <v>41.75002584780811</v>
      </c>
      <c r="K29" s="7">
        <f>J29+H29</f>
        <v>52.120396218178485</v>
      </c>
      <c r="L29" s="7">
        <f>ROUND(M29-H29,9)</f>
        <v>41.750025848</v>
      </c>
      <c r="M29" s="7">
        <f>MIN(L28)</f>
        <v>52.120396218</v>
      </c>
      <c r="N29" s="18">
        <f>ROUND(L29-J29,6)</f>
        <v>0.0</v>
      </c>
      <c r="O29" s="7">
        <f>ROUND(MIN(J28)-K29,6)</f>
        <v>0.0</v>
      </c>
      <c r="P29" s="7">
        <f>ROUND(MAX(0,MIN(J28)-MAX(M17,M18)-H29),6)</f>
        <v>0.0</v>
      </c>
      <c r="Q29" s="16" t="str">
        <f>IF(ABS(N29)&lt;0.000001,"да","")</f>
        <v>да</v>
      </c>
    </row>
    <row r="31">
      <c r="B31" s="19" t="inlineStr">
        <is>
          <t>Tкр (окончание финальной приёмки 6.3), раб. дн</t>
        </is>
      </c>
      <c r="D31" s="15">
        <f>K28</f>
        <v>54.80155563846834</v>
      </c>
    </row>
    <row r="32">
      <c r="B32" s="19" t="inlineStr">
        <is>
          <t>Окончание проекта (1.4), раб. дн</t>
        </is>
      </c>
      <c r="D32" s="15">
        <f>K8</f>
        <v>58.75988897180168</v>
      </c>
    </row>
    <row r="33">
      <c r="B33" s="19" t="inlineStr">
        <is>
          <t>Tдир (25.12.2026), раб. дн</t>
        </is>
      </c>
      <c r="D33" s="14" t="n">
        <v>49</v>
      </c>
    </row>
    <row r="34">
      <c r="B34" s="19" t="inlineStr">
        <is>
          <t>Критический путь: 2.2 → 2.5 → 3.1 → 3.2 → 3.5 → 6.4 → 6.3 → 1.4</t>
        </is>
      </c>
    </row>
    <row r="36">
      <c r="B36" s="20" t="inlineStr">
        <is>
          <t>D = E ост. / мощность; σ (дн) = σ ост. (ч) / мощность. ES = max EF предшественниц; EF = ES + D; LF = min LS последователей; LS = LF − D.</t>
        </is>
      </c>
    </row>
    <row r="37">
      <c r="B37" s="20" t="inlineStr">
        <is>
          <t>Rполн = LS − ES; Rсвоб = min ES последователей − EF; Rнез = max(0; min ES последователей − max LF предшественниц − D).</t>
        </is>
      </c>
    </row>
    <row r="38">
      <c r="B38" s="20" t="inlineStr">
        <is>
          <t>Гамак — растянутая работа: длительность берётся из сети, резервы не считаются.</t>
        </is>
      </c>
    </row>
  </sheetData>
  <mergeCells count="1">
    <mergeCell ref="A2:Q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8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0" customWidth="1" min="4" max="4"/>
    <col width="10" customWidth="1" min="5" max="5"/>
    <col width="20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7" customWidth="1" min="17" max="17"/>
  </cols>
  <sheetData>
    <row r="1" ht="22" customHeight="1">
      <c r="A1" s="1" t="inlineStr">
        <is>
          <t>Расчёт сети. Вариант Б: базовый план, 68 ч/нед</t>
        </is>
      </c>
    </row>
    <row r="2" ht="18" customHeight="1">
      <c r="A2" s="2" t="inlineStr">
        <is>
          <t>Сроки в рабочих днях от 19.10.2026.</t>
        </is>
      </c>
    </row>
    <row r="4" ht="34" customHeight="1">
      <c r="A4" s="3" t="inlineStr">
        <is>
          <t>№</t>
        </is>
      </c>
      <c r="B4" s="3" t="inlineStr">
        <is>
          <t>Пакет работ</t>
        </is>
      </c>
      <c r="C4" s="3" t="inlineStr">
        <is>
          <t>Тип</t>
        </is>
      </c>
      <c r="D4" s="3" t="inlineStr">
        <is>
          <t>E ост., ч</t>
        </is>
      </c>
      <c r="E4" s="3" t="inlineStr">
        <is>
          <t>σ ост., ч</t>
        </is>
      </c>
      <c r="F4" s="3" t="inlineStr">
        <is>
          <t>Исполнители</t>
        </is>
      </c>
      <c r="G4" s="3" t="inlineStr">
        <is>
          <t>Мощность, ч/дн</t>
        </is>
      </c>
      <c r="H4" s="3" t="inlineStr">
        <is>
          <t>D, дн</t>
        </is>
      </c>
      <c r="I4" s="3" t="inlineStr">
        <is>
          <t>σ, дн</t>
        </is>
      </c>
      <c r="J4" s="3" t="inlineStr">
        <is>
          <t>ES</t>
        </is>
      </c>
      <c r="K4" s="3" t="inlineStr">
        <is>
          <t>EF</t>
        </is>
      </c>
      <c r="L4" s="3" t="inlineStr">
        <is>
          <t>LS</t>
        </is>
      </c>
      <c r="M4" s="3" t="inlineStr">
        <is>
          <t>LF</t>
        </is>
      </c>
      <c r="N4" s="3" t="inlineStr">
        <is>
          <t>Rполн</t>
        </is>
      </c>
      <c r="O4" s="3" t="inlineStr">
        <is>
          <t>Rсвоб</t>
        </is>
      </c>
      <c r="P4" s="3" t="inlineStr">
        <is>
          <t>Rнез</t>
        </is>
      </c>
      <c r="Q4" s="3" t="inlineStr">
        <is>
          <t>Крит.</t>
        </is>
      </c>
    </row>
    <row r="5" ht="21" customHeight="1">
      <c r="A5" s="11" t="inlineStr">
        <is>
          <t>1.1</t>
        </is>
      </c>
      <c r="B5" s="12" t="inlineStr">
        <is>
          <t>Инициация проекта</t>
        </is>
      </c>
      <c r="C5" s="11" t="inlineStr">
        <is>
          <t>выполнена</t>
        </is>
      </c>
      <c r="D5" s="7">
        <f>'Данные'!J5</f>
        <v>0.0</v>
      </c>
      <c r="E5" s="7">
        <f>'Данные'!K5</f>
        <v>0.0</v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—</t>
        </is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  <c r="Q5" s="11" t="inlineStr">
        <is>
          <t>—</t>
        </is>
      </c>
    </row>
    <row r="6" ht="21" customHeight="1">
      <c r="A6" s="4" t="inlineStr">
        <is>
          <t>1.2</t>
        </is>
      </c>
      <c r="B6" s="5" t="inlineStr">
        <is>
          <t>Планирование проекта</t>
        </is>
      </c>
      <c r="C6" s="4" t="inlineStr">
        <is>
          <t>обычная</t>
        </is>
      </c>
      <c r="D6" s="7">
        <f>'Данные'!J6</f>
        <v>13.066666666666666</v>
      </c>
      <c r="E6" s="7">
        <f>'Данные'!K6</f>
        <v>1.866666666666667</v>
      </c>
      <c r="F6" s="4" t="inlineStr">
        <is>
          <t>PM, TW</t>
        </is>
      </c>
      <c r="G6" s="7" t="n">
        <v>2.8</v>
      </c>
      <c r="H6" s="7">
        <f>D6/G6</f>
        <v>4.666666666666667</v>
      </c>
      <c r="I6" s="7">
        <f>E6/G6</f>
        <v>0.6666666666666669</v>
      </c>
      <c r="J6" s="7">
        <f>0</f>
        <v>0.0</v>
      </c>
      <c r="K6" s="7">
        <f>J6+H6</f>
        <v>4.666666666666667</v>
      </c>
      <c r="L6" s="7">
        <f>ROUND(M6-H6,9)</f>
        <v>7.356963298</v>
      </c>
      <c r="M6" s="7">
        <f>MIN(L14)</f>
        <v>12.023629965</v>
      </c>
      <c r="N6" s="7">
        <f>ROUND(L6-J6,6)</f>
        <v>7.356963</v>
      </c>
      <c r="O6" s="7">
        <f>ROUND(MIN(J14)-K6,6)</f>
        <v>7.356963</v>
      </c>
      <c r="P6" s="7">
        <f>ROUND(MAX(0,MIN(J14)-0-H6),6)</f>
        <v>7.356963</v>
      </c>
      <c r="Q6" s="4" t="str">
        <f>IF(ABS(N6)&lt;0.000001,"да","")</f>
        <v/>
      </c>
    </row>
    <row r="7" ht="21" customHeight="1">
      <c r="A7" s="9" t="inlineStr">
        <is>
          <t>1.3</t>
        </is>
      </c>
      <c r="B7" s="10" t="inlineStr">
        <is>
          <t>Мониторинг и контроль</t>
        </is>
      </c>
      <c r="C7" s="4" t="inlineStr">
        <is>
          <t>гамак</t>
        </is>
      </c>
      <c r="D7" s="7">
        <f>'Данные'!J7</f>
        <v>38.24894514767932</v>
      </c>
      <c r="E7" s="7">
        <f>'Данные'!K7</f>
        <v>5.168776371308017</v>
      </c>
      <c r="F7" s="4" t="inlineStr">
        <is>
          <t>PM</t>
        </is>
      </c>
      <c r="G7" s="4" t="inlineStr">
        <is>
          <t>—</t>
        </is>
      </c>
      <c r="H7" s="7">
        <f>K7-J7</f>
        <v>41.61065882847464</v>
      </c>
      <c r="I7" s="4" t="inlineStr">
        <is>
          <t>—</t>
        </is>
      </c>
      <c r="J7" s="7">
        <f>0</f>
        <v>0.0</v>
      </c>
      <c r="K7" s="7">
        <f>J8</f>
        <v>41.61065882847464</v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—</t>
        </is>
      </c>
      <c r="P7" s="4" t="inlineStr">
        <is>
          <t>—</t>
        </is>
      </c>
      <c r="Q7" s="4" t="inlineStr">
        <is>
          <t>—</t>
        </is>
      </c>
    </row>
    <row r="8" ht="21" customHeight="1">
      <c r="A8" s="16" t="inlineStr">
        <is>
          <t>1.4</t>
        </is>
      </c>
      <c r="B8" s="17" t="inlineStr">
        <is>
          <t>Закрытие проекта</t>
        </is>
      </c>
      <c r="C8" s="4" t="inlineStr">
        <is>
          <t>обычная</t>
        </is>
      </c>
      <c r="D8" s="7">
        <f>'Данные'!J8</f>
        <v>12.666666666666666</v>
      </c>
      <c r="E8" s="7">
        <f>'Данные'!K8</f>
        <v>2.0</v>
      </c>
      <c r="F8" s="4" t="inlineStr">
        <is>
          <t>PM, TW</t>
        </is>
      </c>
      <c r="G8" s="7" t="n">
        <v>4</v>
      </c>
      <c r="H8" s="7">
        <f>D8/G8</f>
        <v>3.1666666666666665</v>
      </c>
      <c r="I8" s="7">
        <f>E8/G8</f>
        <v>0.5</v>
      </c>
      <c r="J8" s="7">
        <f>MAX(K28)</f>
        <v>41.61065882847464</v>
      </c>
      <c r="K8" s="7">
        <f>J8+H8</f>
        <v>44.777325495141305</v>
      </c>
      <c r="L8" s="7">
        <f>ROUND(M8-H8,9)</f>
        <v>41.610658828</v>
      </c>
      <c r="M8" s="7">
        <f>K8</f>
        <v>44.777325495141305</v>
      </c>
      <c r="N8" s="18">
        <f>ROUND(L8-J8,6)</f>
        <v>0.0</v>
      </c>
      <c r="O8" s="7">
        <f>ROUND(M8-K8,6)</f>
        <v>0.0</v>
      </c>
      <c r="P8" s="7">
        <f>ROUND(MAX(0,M8-MAX(M28)-H8),6)</f>
        <v>0.0</v>
      </c>
      <c r="Q8" s="16" t="str">
        <f>IF(ABS(N8)&lt;0.000001,"да","")</f>
        <v>да</v>
      </c>
    </row>
    <row r="9" ht="21" customHeight="1">
      <c r="A9" s="9" t="inlineStr">
        <is>
          <t>2.1</t>
        </is>
      </c>
      <c r="B9" s="10" t="inlineStr">
        <is>
          <t>Сбор и анализ требований</t>
        </is>
      </c>
      <c r="C9" s="4" t="inlineStr">
        <is>
          <t>гамак</t>
        </is>
      </c>
      <c r="D9" s="7">
        <f>'Данные'!J9</f>
        <v>8.65</v>
      </c>
      <c r="E9" s="7">
        <f>'Данные'!K9</f>
        <v>1.4500000000000002</v>
      </c>
      <c r="F9" s="4" t="inlineStr">
        <is>
          <t>BA</t>
        </is>
      </c>
      <c r="G9" s="4" t="inlineStr">
        <is>
          <t>—</t>
        </is>
      </c>
      <c r="H9" s="7">
        <f>K9-J9</f>
        <v>41.61065882847464</v>
      </c>
      <c r="I9" s="4" t="inlineStr">
        <is>
          <t>—</t>
        </is>
      </c>
      <c r="J9" s="7">
        <f>0</f>
        <v>0.0</v>
      </c>
      <c r="K9" s="7">
        <f>J8</f>
        <v>41.61065882847464</v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—</t>
        </is>
      </c>
      <c r="P9" s="4" t="inlineStr">
        <is>
          <t>—</t>
        </is>
      </c>
      <c r="Q9" s="4" t="inlineStr">
        <is>
          <t>—</t>
        </is>
      </c>
    </row>
    <row r="10" ht="21" customHeight="1">
      <c r="A10" s="16" t="inlineStr">
        <is>
          <t>2.2</t>
        </is>
      </c>
      <c r="B10" s="17" t="inlineStr">
        <is>
          <t>Проектирование архитектуры и базы данных</t>
        </is>
      </c>
      <c r="C10" s="4" t="inlineStr">
        <is>
          <t>обычная</t>
        </is>
      </c>
      <c r="D10" s="7">
        <f>'Данные'!J10</f>
        <v>31.0</v>
      </c>
      <c r="E10" s="7">
        <f>'Данные'!K10</f>
        <v>5.0</v>
      </c>
      <c r="F10" s="4" t="inlineStr">
        <is>
          <t>BE, BA</t>
        </is>
      </c>
      <c r="G10" s="7" t="n">
        <v>3.4</v>
      </c>
      <c r="H10" s="7">
        <f>D10/G10</f>
        <v>9.117647058823529</v>
      </c>
      <c r="I10" s="7">
        <f>E10/G10</f>
        <v>1.4705882352941175</v>
      </c>
      <c r="J10" s="7">
        <f>0</f>
        <v>0.0</v>
      </c>
      <c r="K10" s="7">
        <f>J10+H10</f>
        <v>9.117647058823529</v>
      </c>
      <c r="L10" s="7">
        <f>ROUND(M10-H10,9)</f>
        <v>0.0</v>
      </c>
      <c r="M10" s="7">
        <f>MIN(L13,L14,L20,L22,L26)</f>
        <v>9.117647059</v>
      </c>
      <c r="N10" s="18">
        <f>ROUND(L10-J10,6)</f>
        <v>0.0</v>
      </c>
      <c r="O10" s="7">
        <f>ROUND(MIN(J13,J14,J20,J22,J26)-K10,6)</f>
        <v>0.0</v>
      </c>
      <c r="P10" s="7">
        <f>ROUND(MAX(0,MIN(J13,J14,J20,J22,J26)-0-H10),6)</f>
        <v>0.0</v>
      </c>
      <c r="Q10" s="16" t="str">
        <f>IF(ABS(N10)&lt;0.000001,"да","")</f>
        <v>да</v>
      </c>
    </row>
    <row r="11" ht="21" customHeight="1">
      <c r="A11" s="4" t="inlineStr">
        <is>
          <t>2.3</t>
        </is>
      </c>
      <c r="B11" s="5" t="inlineStr">
        <is>
          <t>Проектирование пользовательского интерфейса</t>
        </is>
      </c>
      <c r="C11" s="4" t="inlineStr">
        <is>
          <t>обычная</t>
        </is>
      </c>
      <c r="D11" s="7">
        <f>'Данные'!J11</f>
        <v>35.833333333333336</v>
      </c>
      <c r="E11" s="7">
        <f>'Данные'!K11</f>
        <v>5.833333333333333</v>
      </c>
      <c r="F11" s="4" t="inlineStr">
        <is>
          <t>UX1, UX2</t>
        </is>
      </c>
      <c r="G11" s="7" t="n">
        <v>4.4</v>
      </c>
      <c r="H11" s="7">
        <f>D11/G11</f>
        <v>8.143939393939394</v>
      </c>
      <c r="I11" s="7">
        <f>E11/G11</f>
        <v>1.3257575757575757</v>
      </c>
      <c r="J11" s="7">
        <f>0</f>
        <v>0.0</v>
      </c>
      <c r="K11" s="7">
        <f>J11+H11</f>
        <v>8.143939393939394</v>
      </c>
      <c r="L11" s="7">
        <f>ROUND(M11-H11,9)</f>
        <v>3.879690571</v>
      </c>
      <c r="M11" s="7">
        <f>MIN(L14,L16,L22)</f>
        <v>12.023629965</v>
      </c>
      <c r="N11" s="7">
        <f>ROUND(L11-J11,6)</f>
        <v>3.879691</v>
      </c>
      <c r="O11" s="7">
        <f>ROUND(MIN(J14,J16,J22)-K11,6)</f>
        <v>3.879691</v>
      </c>
      <c r="P11" s="7">
        <f>ROUND(MAX(0,MIN(J14,J16,J22)-0-H11),6)</f>
        <v>3.879691</v>
      </c>
      <c r="Q11" s="4" t="str">
        <f>IF(ABS(N11)&lt;0.000001,"да","")</f>
        <v/>
      </c>
    </row>
    <row r="12" ht="21" customHeight="1">
      <c r="A12" s="4" t="inlineStr">
        <is>
          <t>2.4</t>
        </is>
      </c>
      <c r="B12" s="5" t="inlineStr">
        <is>
          <t>Подготовка среды и инструментов</t>
        </is>
      </c>
      <c r="C12" s="4" t="inlineStr">
        <is>
          <t>обычная</t>
        </is>
      </c>
      <c r="D12" s="7">
        <f>'Данные'!J12</f>
        <v>16.666666666666668</v>
      </c>
      <c r="E12" s="7">
        <f>'Данные'!K12</f>
        <v>2.6666666666666665</v>
      </c>
      <c r="F12" s="4" t="inlineStr">
        <is>
          <t>PM, QA, TW</t>
        </is>
      </c>
      <c r="G12" s="7" t="n">
        <v>4.4</v>
      </c>
      <c r="H12" s="7">
        <f>D12/G12</f>
        <v>3.7878787878787876</v>
      </c>
      <c r="I12" s="7">
        <f>E12/G12</f>
        <v>0.606060606060606</v>
      </c>
      <c r="J12" s="7">
        <f>0</f>
        <v>0.0</v>
      </c>
      <c r="K12" s="7">
        <f>J12+H12</f>
        <v>3.7878787878787876</v>
      </c>
      <c r="L12" s="7">
        <f>ROUND(M12-H12,9)</f>
        <v>5.329768271</v>
      </c>
      <c r="M12" s="7">
        <f>MIN(L13,L14,L26)</f>
        <v>9.117647059</v>
      </c>
      <c r="N12" s="7">
        <f>ROUND(L12-J12,6)</f>
        <v>5.329768</v>
      </c>
      <c r="O12" s="7">
        <f>ROUND(MIN(J13,J14,J26)-K12,6)</f>
        <v>5.329768</v>
      </c>
      <c r="P12" s="7">
        <f>ROUND(MAX(0,MIN(J13,J14,J26)-0-H12),6)</f>
        <v>5.329768</v>
      </c>
      <c r="Q12" s="4" t="str">
        <f>IF(ABS(N12)&lt;0.000001,"да","")</f>
        <v/>
      </c>
    </row>
    <row r="13" ht="21" customHeight="1">
      <c r="A13" s="16" t="inlineStr">
        <is>
          <t>2.5</t>
        </is>
      </c>
      <c r="B13" s="17" t="inlineStr">
        <is>
          <t>Подготовка демонстрационных данных</t>
        </is>
      </c>
      <c r="C13" s="4" t="inlineStr">
        <is>
          <t>обычная</t>
        </is>
      </c>
      <c r="D13" s="7">
        <f>'Данные'!J13</f>
        <v>22.666666666666668</v>
      </c>
      <c r="E13" s="7">
        <f>'Данные'!K13</f>
        <v>4.0</v>
      </c>
      <c r="F13" s="4" t="inlineStr">
        <is>
          <t>BA, QA, UX1, UX2</t>
        </is>
      </c>
      <c r="G13" s="7" t="n">
        <v>7.800000000000001</v>
      </c>
      <c r="H13" s="7">
        <f>D13/G13</f>
        <v>2.905982905982906</v>
      </c>
      <c r="I13" s="7">
        <f>E13/G13</f>
        <v>0.5128205128205128</v>
      </c>
      <c r="J13" s="7">
        <f>MAX(K10,K12)</f>
        <v>9.117647058823529</v>
      </c>
      <c r="K13" s="7">
        <f>J13+H13</f>
        <v>12.023629964806435</v>
      </c>
      <c r="L13" s="7">
        <f>ROUND(M13-H13,9)</f>
        <v>9.117647059</v>
      </c>
      <c r="M13" s="7">
        <f>MIN(L14,L17,L18)</f>
        <v>12.023629965</v>
      </c>
      <c r="N13" s="18">
        <f>ROUND(L13-J13,6)</f>
        <v>0.0</v>
      </c>
      <c r="O13" s="7">
        <f>ROUND(MIN(J14,J17,J18)-K13,6)</f>
        <v>0.0</v>
      </c>
      <c r="P13" s="7">
        <f>ROUND(MAX(0,MIN(J14,J17,J18)-MAX(M10,M12)-H13),6)</f>
        <v>0.0</v>
      </c>
      <c r="Q13" s="16" t="str">
        <f>IF(ABS(N13)&lt;0.000001,"да","")</f>
        <v>да</v>
      </c>
    </row>
    <row r="14" ht="21" customHeight="1">
      <c r="A14" s="16" t="inlineStr">
        <is>
          <t>3.1</t>
        </is>
      </c>
      <c r="B14" s="17" t="inlineStr">
        <is>
          <t>Реестр лошадей и карточка лошади</t>
        </is>
      </c>
      <c r="C14" s="4" t="inlineStr">
        <is>
          <t>обычная</t>
        </is>
      </c>
      <c r="D14" s="7">
        <f>'Данные'!J14</f>
        <v>46.333333333333336</v>
      </c>
      <c r="E14" s="7">
        <f>'Данные'!K14</f>
        <v>7.0</v>
      </c>
      <c r="F14" s="4" t="inlineStr">
        <is>
          <t>BE, BA, UX1, UX2</t>
        </is>
      </c>
      <c r="G14" s="7" t="n">
        <v>7.800000000000001</v>
      </c>
      <c r="H14" s="7">
        <f>D14/G14</f>
        <v>5.9401709401709395</v>
      </c>
      <c r="I14" s="7">
        <f>E14/G14</f>
        <v>0.8974358974358974</v>
      </c>
      <c r="J14" s="7">
        <f>MAX(K10,K11,K12,K13,K6)</f>
        <v>12.023629964806435</v>
      </c>
      <c r="K14" s="7">
        <f>J14+H14</f>
        <v>17.963800904977376</v>
      </c>
      <c r="L14" s="7">
        <f>ROUND(M14-H14,9)</f>
        <v>12.023629965</v>
      </c>
      <c r="M14" s="7">
        <f>MIN(L15,L16,L17,L20,L22)</f>
        <v>17.963800905</v>
      </c>
      <c r="N14" s="18">
        <f>ROUND(L14-J14,6)</f>
        <v>0.0</v>
      </c>
      <c r="O14" s="7">
        <f>ROUND(MIN(J15,J16,J17,J20,J22)-K14,6)</f>
        <v>0.0</v>
      </c>
      <c r="P14" s="7">
        <f>ROUND(MAX(0,MIN(J15,J16,J17,J20,J22)-MAX(M10,M11,M12,M13,M6)-H14),6)</f>
        <v>0.0</v>
      </c>
      <c r="Q14" s="16" t="str">
        <f>IF(ABS(N14)&lt;0.000001,"да","")</f>
        <v>да</v>
      </c>
    </row>
    <row r="15" ht="21" customHeight="1">
      <c r="A15" s="16" t="inlineStr">
        <is>
          <t>3.2</t>
        </is>
      </c>
      <c r="B15" s="17" t="inlineStr">
        <is>
          <t>Размещение и перемещения</t>
        </is>
      </c>
      <c r="C15" s="4" t="inlineStr">
        <is>
          <t>обычная</t>
        </is>
      </c>
      <c r="D15" s="7">
        <f>'Данные'!J15</f>
        <v>31.0</v>
      </c>
      <c r="E15" s="7">
        <f>'Данные'!K15</f>
        <v>5.0</v>
      </c>
      <c r="F15" s="4" t="inlineStr">
        <is>
          <t>BE, UX1</t>
        </is>
      </c>
      <c r="G15" s="7" t="n">
        <v>4</v>
      </c>
      <c r="H15" s="7">
        <f>D15/G15</f>
        <v>7.75</v>
      </c>
      <c r="I15" s="7">
        <f>E15/G15</f>
        <v>1.25</v>
      </c>
      <c r="J15" s="7">
        <f>MAX(K14)</f>
        <v>17.963800904977376</v>
      </c>
      <c r="K15" s="7">
        <f>J15+H15</f>
        <v>25.713800904977376</v>
      </c>
      <c r="L15" s="7">
        <f>ROUND(M15-H15,9)</f>
        <v>17.963800905</v>
      </c>
      <c r="M15" s="7">
        <f>MIN(L18)</f>
        <v>25.713800905</v>
      </c>
      <c r="N15" s="18">
        <f>ROUND(L15-J15,6)</f>
        <v>0.0</v>
      </c>
      <c r="O15" s="7">
        <f>ROUND(MIN(J18)-K15,6)</f>
        <v>0.0</v>
      </c>
      <c r="P15" s="7">
        <f>ROUND(MAX(0,MIN(J18)-MAX(M14)-H15),6)</f>
        <v>0.0</v>
      </c>
      <c r="Q15" s="16" t="str">
        <f>IF(ABS(N15)&lt;0.000001,"да","")</f>
        <v>да</v>
      </c>
    </row>
    <row r="16" ht="21" customHeight="1">
      <c r="A16" s="4" t="inlineStr">
        <is>
          <t>3.3</t>
        </is>
      </c>
      <c r="B16" s="5" t="inlineStr">
        <is>
          <t>Ввод записей о состоянии и происшествиях</t>
        </is>
      </c>
      <c r="C16" s="4" t="inlineStr">
        <is>
          <t>обычная</t>
        </is>
      </c>
      <c r="D16" s="7">
        <f>'Данные'!J16</f>
        <v>20.666666666666668</v>
      </c>
      <c r="E16" s="7">
        <f>'Данные'!K16</f>
        <v>3.3333333333333335</v>
      </c>
      <c r="F16" s="4" t="inlineStr">
        <is>
          <t>BA, UX2</t>
        </is>
      </c>
      <c r="G16" s="7" t="n">
        <v>3.8</v>
      </c>
      <c r="H16" s="7">
        <f>D16/G16</f>
        <v>5.438596491228071</v>
      </c>
      <c r="I16" s="7">
        <f>E16/G16</f>
        <v>0.8771929824561404</v>
      </c>
      <c r="J16" s="7">
        <f>MAX(K14,K11)</f>
        <v>17.963800904977376</v>
      </c>
      <c r="K16" s="7">
        <f>J16+H16</f>
        <v>23.402397396205448</v>
      </c>
      <c r="L16" s="7">
        <f>ROUND(M16-H16,9)</f>
        <v>20.275204414</v>
      </c>
      <c r="M16" s="7">
        <f>MIN(L17,L18)</f>
        <v>25.713800905</v>
      </c>
      <c r="N16" s="7">
        <f>ROUND(L16-J16,6)</f>
        <v>2.311404</v>
      </c>
      <c r="O16" s="7">
        <f>ROUND(MIN(J17,J18)-K16,6)</f>
        <v>0.0</v>
      </c>
      <c r="P16" s="7">
        <f>ROUND(MAX(0,MIN(J17,J18)-MAX(M14,M11)-H16),6)</f>
        <v>0.0</v>
      </c>
      <c r="Q16" s="4" t="str">
        <f>IF(ABS(N16)&lt;0.000001,"да","")</f>
        <v/>
      </c>
    </row>
    <row r="17" ht="21" customHeight="1">
      <c r="A17" s="4" t="inlineStr">
        <is>
          <t>3.4</t>
        </is>
      </c>
      <c r="B17" s="5" t="inlineStr">
        <is>
          <t>Справка «История жеребца»</t>
        </is>
      </c>
      <c r="C17" s="4" t="inlineStr">
        <is>
          <t>обычная</t>
        </is>
      </c>
      <c r="D17" s="7">
        <f>'Данные'!J17</f>
        <v>27.0</v>
      </c>
      <c r="E17" s="7">
        <f>'Данные'!K17</f>
        <v>4.333333333333333</v>
      </c>
      <c r="F17" s="4" t="inlineStr">
        <is>
          <t>BA, UX2</t>
        </is>
      </c>
      <c r="G17" s="7" t="n">
        <v>3.8</v>
      </c>
      <c r="H17" s="7">
        <f>D17/G17</f>
        <v>7.105263157894737</v>
      </c>
      <c r="I17" s="7">
        <f>E17/G17</f>
        <v>1.1403508771929824</v>
      </c>
      <c r="J17" s="7">
        <f>MAX(K14,K16,K13)</f>
        <v>23.402397396205448</v>
      </c>
      <c r="K17" s="7">
        <f>J17+H17</f>
        <v>30.507660554100184</v>
      </c>
      <c r="L17" s="7">
        <f>ROUND(M17-H17,9)</f>
        <v>25.81687108</v>
      </c>
      <c r="M17" s="7">
        <f>MIN(L29)</f>
        <v>32.922134238</v>
      </c>
      <c r="N17" s="7">
        <f>ROUND(L17-J17,6)</f>
        <v>2.414474</v>
      </c>
      <c r="O17" s="7">
        <f>ROUND(MIN(J29)-K17,6)</f>
        <v>2.414474</v>
      </c>
      <c r="P17" s="7">
        <f>ROUND(MAX(0,MIN(J29)-MAX(M14,M16,M13)-H17),6)</f>
        <v>0.10307</v>
      </c>
      <c r="Q17" s="4" t="str">
        <f>IF(ABS(N17)&lt;0.000001,"да","")</f>
        <v/>
      </c>
    </row>
    <row r="18" ht="21" customHeight="1">
      <c r="A18" s="16" t="inlineStr">
        <is>
          <t>3.5</t>
        </is>
      </c>
      <c r="B18" s="17" t="inlineStr">
        <is>
          <t>Справка «Перемещения и контакты»</t>
        </is>
      </c>
      <c r="C18" s="4" t="inlineStr">
        <is>
          <t>обычная</t>
        </is>
      </c>
      <c r="D18" s="7">
        <f>'Данные'!J18</f>
        <v>28.833333333333332</v>
      </c>
      <c r="E18" s="7">
        <f>'Данные'!K18</f>
        <v>4.833333333333333</v>
      </c>
      <c r="F18" s="4" t="inlineStr">
        <is>
          <t>BE, UX1</t>
        </is>
      </c>
      <c r="G18" s="7" t="n">
        <v>4</v>
      </c>
      <c r="H18" s="7">
        <f>D18/G18</f>
        <v>7.208333333333333</v>
      </c>
      <c r="I18" s="7">
        <f>E18/G18</f>
        <v>1.2083333333333333</v>
      </c>
      <c r="J18" s="7">
        <f>MAX(K15,K16,K13)</f>
        <v>25.713800904977376</v>
      </c>
      <c r="K18" s="7">
        <f>J18+H18</f>
        <v>32.92213423831071</v>
      </c>
      <c r="L18" s="7">
        <f>ROUND(M18-H18,9)</f>
        <v>25.713800905</v>
      </c>
      <c r="M18" s="7">
        <f>MIN(L29)</f>
        <v>32.922134238</v>
      </c>
      <c r="N18" s="18">
        <f>ROUND(L18-J18,6)</f>
        <v>0.0</v>
      </c>
      <c r="O18" s="7">
        <f>ROUND(MIN(J29)-K18,6)</f>
        <v>0.0</v>
      </c>
      <c r="P18" s="7">
        <f>ROUND(MAX(0,MIN(J29)-MAX(M15,M16,M13)-H18),6)</f>
        <v>0.0</v>
      </c>
      <c r="Q18" s="16" t="str">
        <f>IF(ABS(N18)&lt;0.000001,"да","")</f>
        <v>да</v>
      </c>
    </row>
    <row r="19" ht="21" customHeight="1">
      <c r="A19" s="4" t="inlineStr">
        <is>
          <t>4.1</t>
        </is>
      </c>
      <c r="B19" s="5" t="inlineStr">
        <is>
          <t>Формализация правил совместимости</t>
        </is>
      </c>
      <c r="C19" s="4" t="inlineStr">
        <is>
          <t>обычная</t>
        </is>
      </c>
      <c r="D19" s="7">
        <f>'Данные'!J19</f>
        <v>14.666666666666666</v>
      </c>
      <c r="E19" s="7">
        <f>'Данные'!K19</f>
        <v>2.6666666666666665</v>
      </c>
      <c r="F19" s="4" t="inlineStr">
        <is>
          <t>PM, TW</t>
        </is>
      </c>
      <c r="G19" s="7" t="n">
        <v>2.8</v>
      </c>
      <c r="H19" s="7">
        <f>D19/G19</f>
        <v>5.238095238095238</v>
      </c>
      <c r="I19" s="7">
        <f>E19/G19</f>
        <v>0.9523809523809524</v>
      </c>
      <c r="J19" s="7">
        <f>0</f>
        <v>0.0</v>
      </c>
      <c r="K19" s="7">
        <f>J19+H19</f>
        <v>5.238095238095238</v>
      </c>
      <c r="L19" s="7">
        <f>ROUND(M19-H19,9)</f>
        <v>25.392372334</v>
      </c>
      <c r="M19" s="7">
        <f>MIN(L20)</f>
        <v>30.630467572</v>
      </c>
      <c r="N19" s="7">
        <f>ROUND(L19-J19,6)</f>
        <v>25.392372</v>
      </c>
      <c r="O19" s="7">
        <f>ROUND(MIN(J20)-K19,6)</f>
        <v>12.725706</v>
      </c>
      <c r="P19" s="7">
        <f>ROUND(MAX(0,MIN(J20)-0-H19),6)</f>
        <v>12.725706</v>
      </c>
      <c r="Q19" s="4" t="str">
        <f>IF(ABS(N19)&lt;0.000001,"да","")</f>
        <v/>
      </c>
    </row>
    <row r="20" ht="21" customHeight="1">
      <c r="A20" s="4" t="inlineStr">
        <is>
          <t>4.2</t>
        </is>
      </c>
      <c r="B20" s="5" t="inlineStr">
        <is>
          <t>Проверка совместимости пар</t>
        </is>
      </c>
      <c r="C20" s="4" t="inlineStr">
        <is>
          <t>обычная</t>
        </is>
      </c>
      <c r="D20" s="7">
        <f>'Данные'!J20</f>
        <v>35.833333333333336</v>
      </c>
      <c r="E20" s="7">
        <f>'Данные'!K20</f>
        <v>5.833333333333333</v>
      </c>
      <c r="F20" s="4" t="inlineStr">
        <is>
          <t>BE, UX1</t>
        </is>
      </c>
      <c r="G20" s="7" t="n">
        <v>4</v>
      </c>
      <c r="H20" s="7">
        <f>D20/G20</f>
        <v>8.958333333333334</v>
      </c>
      <c r="I20" s="7">
        <f>E20/G20</f>
        <v>1.4583333333333333</v>
      </c>
      <c r="J20" s="7">
        <f>MAX(K19,K14,K10)</f>
        <v>17.963800904977376</v>
      </c>
      <c r="K20" s="7">
        <f>J20+H20</f>
        <v>26.92213423831071</v>
      </c>
      <c r="L20" s="7">
        <f>ROUND(M20-H20,9)</f>
        <v>30.630467572</v>
      </c>
      <c r="M20" s="7">
        <f>MIN(L28)</f>
        <v>39.588800905</v>
      </c>
      <c r="N20" s="7">
        <f>ROUND(L20-J20,6)</f>
        <v>12.666667</v>
      </c>
      <c r="O20" s="7">
        <f>ROUND(MIN(J28)-K20,6)</f>
        <v>12.666667</v>
      </c>
      <c r="P20" s="7">
        <f>ROUND(MAX(0,MIN(J28)-MAX(M19,M14,M10)-H20),6)</f>
        <v>0.0</v>
      </c>
      <c r="Q20" s="4" t="str">
        <f>IF(ABS(N20)&lt;0.000001,"да","")</f>
        <v/>
      </c>
    </row>
    <row r="21" ht="21" customHeight="1">
      <c r="A21" s="11" t="inlineStr">
        <is>
          <t>4.3</t>
        </is>
      </c>
      <c r="B21" s="12" t="inlineStr">
        <is>
          <t>Очередь и календарь жеребцов</t>
        </is>
      </c>
      <c r="C21" s="11" t="inlineStr">
        <is>
          <t>исключён</t>
        </is>
      </c>
      <c r="D21" s="7">
        <f>'Данные'!J21</f>
        <v>39.0</v>
      </c>
      <c r="E21" s="7">
        <f>'Данные'!K21</f>
        <v>6.333333333333333</v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inlineStr">
        <is>
          <t>—</t>
        </is>
      </c>
      <c r="K21" s="11" t="inlineStr">
        <is>
          <t>—</t>
        </is>
      </c>
      <c r="L21" s="11" t="inlineStr">
        <is>
          <t>—</t>
        </is>
      </c>
      <c r="M21" s="11" t="inlineStr">
        <is>
          <t>—</t>
        </is>
      </c>
      <c r="N21" s="11" t="inlineStr">
        <is>
          <t>—</t>
        </is>
      </c>
      <c r="O21" s="11" t="inlineStr">
        <is>
          <t>—</t>
        </is>
      </c>
      <c r="P21" s="11" t="inlineStr">
        <is>
          <t>—</t>
        </is>
      </c>
      <c r="Q21" s="11" t="inlineStr">
        <is>
          <t>—</t>
        </is>
      </c>
    </row>
    <row r="22" ht="21" customHeight="1">
      <c r="A22" s="4" t="inlineStr">
        <is>
          <t>5.1</t>
        </is>
      </c>
      <c r="B22" s="5" t="inlineStr">
        <is>
          <t>Кабинет клиента и заявки</t>
        </is>
      </c>
      <c r="C22" s="4" t="inlineStr">
        <is>
          <t>обычная</t>
        </is>
      </c>
      <c r="D22" s="7">
        <f>'Данные'!J22</f>
        <v>34.666666666666664</v>
      </c>
      <c r="E22" s="7">
        <f>'Данные'!K22</f>
        <v>5.333333333333333</v>
      </c>
      <c r="F22" s="4" t="inlineStr">
        <is>
          <t>BA, UX2</t>
        </is>
      </c>
      <c r="G22" s="7" t="n">
        <v>3.8</v>
      </c>
      <c r="H22" s="7">
        <f>D22/G22</f>
        <v>9.12280701754386</v>
      </c>
      <c r="I22" s="7">
        <f>E22/G22</f>
        <v>1.4035087719298245</v>
      </c>
      <c r="J22" s="7">
        <f>MAX(K10,K11,K14)</f>
        <v>17.963800904977376</v>
      </c>
      <c r="K22" s="7">
        <f>J22+H22</f>
        <v>27.086607922521235</v>
      </c>
      <c r="L22" s="7">
        <f>ROUND(M22-H22,9)</f>
        <v>30.465993887</v>
      </c>
      <c r="M22" s="7">
        <f>MIN(L28)</f>
        <v>39.588800905</v>
      </c>
      <c r="N22" s="7">
        <f>ROUND(L22-J22,6)</f>
        <v>12.502193</v>
      </c>
      <c r="O22" s="7">
        <f>ROUND(MIN(J28)-K22,6)</f>
        <v>12.502193</v>
      </c>
      <c r="P22" s="7">
        <f>ROUND(MAX(0,MIN(J28)-MAX(M10,M11,M14)-H22),6)</f>
        <v>12.502193</v>
      </c>
      <c r="Q22" s="4" t="str">
        <f>IF(ABS(N22)&lt;0.000001,"да","")</f>
        <v/>
      </c>
    </row>
    <row r="23" ht="21" customHeight="1">
      <c r="A23" s="11" t="inlineStr">
        <is>
          <t>5.2</t>
        </is>
      </c>
      <c r="B23" s="12" t="inlineStr">
        <is>
          <t>Заказ семени с доставкой</t>
        </is>
      </c>
      <c r="C23" s="11" t="inlineStr">
        <is>
          <t>исключён</t>
        </is>
      </c>
      <c r="D23" s="7">
        <f>'Данные'!J23</f>
        <v>16.666666666666668</v>
      </c>
      <c r="E23" s="7">
        <f>'Данные'!K23</f>
        <v>2.6666666666666665</v>
      </c>
      <c r="F23" s="11" t="inlineStr">
        <is>
          <t>—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1" t="inlineStr">
        <is>
          <t>—</t>
        </is>
      </c>
      <c r="K23" s="11" t="inlineStr">
        <is>
          <t>—</t>
        </is>
      </c>
      <c r="L23" s="11" t="inlineStr">
        <is>
          <t>—</t>
        </is>
      </c>
      <c r="M23" s="11" t="inlineStr">
        <is>
          <t>—</t>
        </is>
      </c>
      <c r="N23" s="11" t="inlineStr">
        <is>
          <t>—</t>
        </is>
      </c>
      <c r="O23" s="11" t="inlineStr">
        <is>
          <t>—</t>
        </is>
      </c>
      <c r="P23" s="11" t="inlineStr">
        <is>
          <t>—</t>
        </is>
      </c>
      <c r="Q23" s="11" t="inlineStr">
        <is>
          <t>—</t>
        </is>
      </c>
    </row>
    <row r="24" ht="21" customHeight="1">
      <c r="A24" s="11" t="inlineStr">
        <is>
          <t>5.3</t>
        </is>
      </c>
      <c r="B24" s="12" t="inlineStr">
        <is>
          <t>Счета и платежи</t>
        </is>
      </c>
      <c r="C24" s="11" t="inlineStr">
        <is>
          <t>исключён</t>
        </is>
      </c>
      <c r="D24" s="7">
        <f>'Данные'!J24</f>
        <v>31.0</v>
      </c>
      <c r="E24" s="7">
        <f>'Данные'!K24</f>
        <v>5.0</v>
      </c>
      <c r="F24" s="11" t="inlineStr">
        <is>
          <t>—</t>
        </is>
      </c>
      <c r="G24" s="11" t="inlineStr">
        <is>
          <t>—</t>
        </is>
      </c>
      <c r="H24" s="11" t="inlineStr">
        <is>
          <t>—</t>
        </is>
      </c>
      <c r="I24" s="11" t="inlineStr">
        <is>
          <t>—</t>
        </is>
      </c>
      <c r="J24" s="11" t="inlineStr">
        <is>
          <t>—</t>
        </is>
      </c>
      <c r="K24" s="11" t="inlineStr">
        <is>
          <t>—</t>
        </is>
      </c>
      <c r="L24" s="11" t="inlineStr">
        <is>
          <t>—</t>
        </is>
      </c>
      <c r="M24" s="11" t="inlineStr">
        <is>
          <t>—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inlineStr">
        <is>
          <t>—</t>
        </is>
      </c>
    </row>
    <row r="25" ht="21" customHeight="1">
      <c r="A25" s="11" t="inlineStr">
        <is>
          <t>5.4</t>
        </is>
      </c>
      <c r="B25" s="12" t="inlineStr">
        <is>
          <t>Отчёты и напоминания (Could)</t>
        </is>
      </c>
      <c r="C25" s="11" t="inlineStr">
        <is>
          <t>исключён</t>
        </is>
      </c>
      <c r="D25" s="7">
        <f>'Данные'!J25</f>
        <v>20.666666666666668</v>
      </c>
      <c r="E25" s="7">
        <f>'Данные'!K25</f>
        <v>3.3333333333333335</v>
      </c>
      <c r="F25" s="11" t="inlineStr">
        <is>
          <t>—</t>
        </is>
      </c>
      <c r="G25" s="11" t="inlineStr">
        <is>
          <t>—</t>
        </is>
      </c>
      <c r="H25" s="11" t="inlineStr">
        <is>
          <t>—</t>
        </is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1" t="inlineStr">
        <is>
          <t>—</t>
        </is>
      </c>
      <c r="M25" s="11" t="inlineStr">
        <is>
          <t>—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  <c r="Q25" s="11" t="inlineStr">
        <is>
          <t>—</t>
        </is>
      </c>
    </row>
    <row r="26" ht="21" customHeight="1">
      <c r="A26" s="4" t="inlineStr">
        <is>
          <t>6.1</t>
        </is>
      </c>
      <c r="B26" s="5" t="inlineStr">
        <is>
          <t>Интеграция внешних сервисов (заглушки)</t>
        </is>
      </c>
      <c r="C26" s="4" t="inlineStr">
        <is>
          <t>обычная</t>
        </is>
      </c>
      <c r="D26" s="7">
        <f>'Данные'!J26</f>
        <v>28.833333333333332</v>
      </c>
      <c r="E26" s="7">
        <f>'Данные'!K26</f>
        <v>4.833333333333333</v>
      </c>
      <c r="F26" s="4" t="inlineStr">
        <is>
          <t>PM, TW</t>
        </is>
      </c>
      <c r="G26" s="7" t="n">
        <v>2.8</v>
      </c>
      <c r="H26" s="7">
        <f>D26/G26</f>
        <v>10.297619047619047</v>
      </c>
      <c r="I26" s="7">
        <f>E26/G26</f>
        <v>1.7261904761904763</v>
      </c>
      <c r="J26" s="7">
        <f>MAX(K10,K12)</f>
        <v>9.117647058823529</v>
      </c>
      <c r="K26" s="7">
        <f>J26+H26</f>
        <v>19.415266106442576</v>
      </c>
      <c r="L26" s="7">
        <f>ROUND(M26-H26,9)</f>
        <v>29.291181857</v>
      </c>
      <c r="M26" s="7">
        <f>MIN(L28)</f>
        <v>39.588800905</v>
      </c>
      <c r="N26" s="7">
        <f>ROUND(L26-J26,6)</f>
        <v>20.173535</v>
      </c>
      <c r="O26" s="7">
        <f>ROUND(MIN(J28)-K26,6)</f>
        <v>20.173535</v>
      </c>
      <c r="P26" s="7">
        <f>ROUND(MAX(0,MIN(J28)-MAX(M10,M12)-H26),6)</f>
        <v>20.173535</v>
      </c>
      <c r="Q26" s="4" t="str">
        <f>IF(ABS(N26)&lt;0.000001,"да","")</f>
        <v/>
      </c>
    </row>
    <row r="27" ht="21" customHeight="1">
      <c r="A27" s="9" t="inlineStr">
        <is>
          <t>6.2</t>
        </is>
      </c>
      <c r="B27" s="10" t="inlineStr">
        <is>
          <t>Тестирование и исправление дефектов</t>
        </is>
      </c>
      <c r="C27" s="4" t="inlineStr">
        <is>
          <t>гамак</t>
        </is>
      </c>
      <c r="D27" s="7">
        <f>'Данные'!J27</f>
        <v>56.666666666666664</v>
      </c>
      <c r="E27" s="7">
        <f>'Данные'!K27</f>
        <v>8.333333333333334</v>
      </c>
      <c r="F27" s="4" t="inlineStr">
        <is>
          <t>QA, TW</t>
        </is>
      </c>
      <c r="G27" s="4" t="inlineStr">
        <is>
          <t>—</t>
        </is>
      </c>
      <c r="H27" s="7">
        <f>K27-J27</f>
        <v>27.56517094017094</v>
      </c>
      <c r="I27" s="4" t="inlineStr">
        <is>
          <t>—</t>
        </is>
      </c>
      <c r="J27" s="7">
        <f>J14</f>
        <v>12.023629964806435</v>
      </c>
      <c r="K27" s="7">
        <f>J28</f>
        <v>39.588800904977376</v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—</t>
        </is>
      </c>
      <c r="P27" s="4" t="inlineStr">
        <is>
          <t>—</t>
        </is>
      </c>
      <c r="Q27" s="4" t="inlineStr">
        <is>
          <t>—</t>
        </is>
      </c>
    </row>
    <row r="28" ht="21" customHeight="1">
      <c r="A28" s="16" t="inlineStr">
        <is>
          <t>6.3</t>
        </is>
      </c>
      <c r="B28" s="17" t="inlineStr">
        <is>
          <t>Демонстрации и приёмка</t>
        </is>
      </c>
      <c r="C28" s="4" t="inlineStr">
        <is>
          <t>обычная</t>
        </is>
      </c>
      <c r="D28" s="7">
        <f>'Данные'!J28</f>
        <v>24.666666666666668</v>
      </c>
      <c r="E28" s="7">
        <f>'Данные'!K28</f>
        <v>3.3333333333333335</v>
      </c>
      <c r="F28" s="4" t="inlineStr">
        <is>
          <t>PM, BA, UX1, UX2, QA, TW, BE</t>
        </is>
      </c>
      <c r="G28" s="7" t="n">
        <v>12.2</v>
      </c>
      <c r="H28" s="7">
        <f>D28/G28</f>
        <v>2.021857923497268</v>
      </c>
      <c r="I28" s="7">
        <f>E28/G28</f>
        <v>0.273224043715847</v>
      </c>
      <c r="J28" s="7">
        <f>MAX(K20,K22,K26,K29)</f>
        <v>39.588800904977376</v>
      </c>
      <c r="K28" s="7">
        <f>J28+H28</f>
        <v>41.61065882847464</v>
      </c>
      <c r="L28" s="7">
        <f>ROUND(M28-H28,9)</f>
        <v>39.588800905</v>
      </c>
      <c r="M28" s="7">
        <f>MIN(L8)</f>
        <v>41.610658828</v>
      </c>
      <c r="N28" s="18">
        <f>ROUND(L28-J28,6)</f>
        <v>0.0</v>
      </c>
      <c r="O28" s="7">
        <f>ROUND(MIN(J8)-K28,6)</f>
        <v>0.0</v>
      </c>
      <c r="P28" s="7">
        <f>ROUND(MAX(0,MIN(J8)-MAX(M20,M22,M26,M29)-H28),6)</f>
        <v>0.0</v>
      </c>
      <c r="Q28" s="16" t="str">
        <f>IF(ABS(N28)&lt;0.000001,"да","")</f>
        <v>да</v>
      </c>
    </row>
    <row r="29" ht="21" customHeight="1">
      <c r="A29" s="16" t="inlineStr">
        <is>
          <t>6.4</t>
        </is>
      </c>
      <c r="B29" s="17" t="inlineStr">
        <is>
          <t>Документация и приёмочные материалы</t>
        </is>
      </c>
      <c r="C29" s="4" t="inlineStr">
        <is>
          <t>обычная</t>
        </is>
      </c>
      <c r="D29" s="7">
        <f>'Данные'!J29</f>
        <v>18.666666666666668</v>
      </c>
      <c r="E29" s="7">
        <f>'Данные'!K29</f>
        <v>2.6666666666666665</v>
      </c>
      <c r="F29" s="4" t="inlineStr">
        <is>
          <t>TW, PM</t>
        </is>
      </c>
      <c r="G29" s="7" t="n">
        <v>2.8</v>
      </c>
      <c r="H29" s="7">
        <f>D29/G29</f>
        <v>6.666666666666668</v>
      </c>
      <c r="I29" s="7">
        <f>E29/G29</f>
        <v>0.9523809523809524</v>
      </c>
      <c r="J29" s="7">
        <f>MAX(K17,K18)</f>
        <v>32.92213423831071</v>
      </c>
      <c r="K29" s="7">
        <f>J29+H29</f>
        <v>39.588800904977376</v>
      </c>
      <c r="L29" s="7">
        <f>ROUND(M29-H29,9)</f>
        <v>32.922134238</v>
      </c>
      <c r="M29" s="7">
        <f>MIN(L28)</f>
        <v>39.588800905</v>
      </c>
      <c r="N29" s="18">
        <f>ROUND(L29-J29,6)</f>
        <v>0.0</v>
      </c>
      <c r="O29" s="7">
        <f>ROUND(MIN(J28)-K29,6)</f>
        <v>0.0</v>
      </c>
      <c r="P29" s="7">
        <f>ROUND(MAX(0,MIN(J28)-MAX(M17,M18)-H29),6)</f>
        <v>0.0</v>
      </c>
      <c r="Q29" s="16" t="str">
        <f>IF(ABS(N29)&lt;0.000001,"да","")</f>
        <v>да</v>
      </c>
    </row>
    <row r="31">
      <c r="B31" s="19" t="inlineStr">
        <is>
          <t>Tкр (окончание финальной приёмки 6.3), раб. дн</t>
        </is>
      </c>
      <c r="D31" s="15">
        <f>K28</f>
        <v>41.61065882847464</v>
      </c>
    </row>
    <row r="32">
      <c r="B32" s="19" t="inlineStr">
        <is>
          <t>Окончание проекта (1.4), раб. дн</t>
        </is>
      </c>
      <c r="D32" s="15">
        <f>K8</f>
        <v>44.777325495141305</v>
      </c>
    </row>
    <row r="33">
      <c r="B33" s="19" t="inlineStr">
        <is>
          <t>Tдир (25.12.2026), раб. дн</t>
        </is>
      </c>
      <c r="D33" s="14" t="n">
        <v>49</v>
      </c>
    </row>
    <row r="34">
      <c r="B34" s="19" t="inlineStr">
        <is>
          <t>Критический путь: 2.2 → 2.5 → 3.1 → 3.2 → 3.5 → 6.4 → 6.3 → 1.4</t>
        </is>
      </c>
    </row>
    <row r="36">
      <c r="B36" s="20" t="inlineStr">
        <is>
          <t>D = E ост. / мощность; σ (дн) = σ ост. (ч) / мощность. ES = max EF предшественниц; EF = ES + D; LF = min LS последователей; LS = LF − D.</t>
        </is>
      </c>
    </row>
    <row r="37">
      <c r="B37" s="20" t="inlineStr">
        <is>
          <t>Rполн = LS − ES; Rсвоб = min ES последователей − EF; Rнез = max(0; min ES последователей − max LF предшественниц − D).</t>
        </is>
      </c>
    </row>
    <row r="38">
      <c r="B38" s="20" t="inlineStr">
        <is>
          <t>Гамак — растянутая работа: длительность берётся из сети, резервы не считаются.</t>
        </is>
      </c>
    </row>
  </sheetData>
  <mergeCells count="1">
    <mergeCell ref="A2:Q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26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Ранние и поздние сроки событий (вариант Б)</t>
        </is>
      </c>
    </row>
    <row r="2" ht="18" customHeight="1">
      <c r="A2" s="2" t="inlineStr">
        <is>
          <t>Событие — окончание работы: TE = EF, TL = LF. Рабочие дни от 19.10.2026.</t>
        </is>
      </c>
    </row>
    <row r="4" ht="32" customHeight="1">
      <c r="A4" s="3" t="inlineStr">
        <is>
          <t>Событие</t>
        </is>
      </c>
      <c r="B4" s="3" t="inlineStr">
        <is>
          <t>Содержание</t>
        </is>
      </c>
      <c r="C4" s="3" t="inlineStr">
        <is>
          <t>Завершается работа</t>
        </is>
      </c>
      <c r="D4" s="3" t="inlineStr">
        <is>
          <t>Могут начаться</t>
        </is>
      </c>
      <c r="E4" s="3" t="inlineStr">
        <is>
          <t>TE</t>
        </is>
      </c>
      <c r="F4" s="3" t="inlineStr">
        <is>
          <t>TL</t>
        </is>
      </c>
      <c r="G4" s="3" t="inlineStr">
        <is>
          <t>Резерв</t>
        </is>
      </c>
    </row>
    <row r="5">
      <c r="A5" s="4" t="n">
        <v>0</v>
      </c>
      <c r="B5" s="5" t="inlineStr">
        <is>
          <t>Начало оставшихся работ (статус-дата)</t>
        </is>
      </c>
      <c r="C5" s="4" t="inlineStr">
        <is>
          <t>—</t>
        </is>
      </c>
      <c r="D5" s="4" t="inlineStr">
        <is>
          <t>1.2, 2.2, 2.3, 2.4, 4.1</t>
        </is>
      </c>
      <c r="E5" s="7" t="n">
        <v>0</v>
      </c>
      <c r="F5" s="7" t="n">
        <v>0</v>
      </c>
      <c r="G5" s="7">
        <f>F5-E5</f>
        <v>0.0</v>
      </c>
    </row>
    <row r="6" ht="20" customHeight="1">
      <c r="A6" s="4" t="n">
        <v>1</v>
      </c>
      <c r="B6" s="5" t="inlineStr">
        <is>
          <t>Готово: Подготовка среды и инструментов</t>
        </is>
      </c>
      <c r="C6" s="4" t="inlineStr">
        <is>
          <t>2.4</t>
        </is>
      </c>
      <c r="D6" s="4" t="inlineStr">
        <is>
          <t>2.5, 3.1, 6.1</t>
        </is>
      </c>
      <c r="E6" s="7">
        <f>'PERT (вариант Б)'!K12</f>
        <v>3.7878787878787876</v>
      </c>
      <c r="F6" s="7">
        <f>'PERT (вариант Б)'!M12</f>
        <v>9.117647059</v>
      </c>
      <c r="G6" s="7">
        <f>ROUND(F6-E6,6)</f>
        <v>5.329768</v>
      </c>
    </row>
    <row r="7" ht="20" customHeight="1">
      <c r="A7" s="4" t="n">
        <v>2</v>
      </c>
      <c r="B7" s="5" t="inlineStr">
        <is>
          <t>Готово: Планирование проекта</t>
        </is>
      </c>
      <c r="C7" s="4" t="inlineStr">
        <is>
          <t>1.2</t>
        </is>
      </c>
      <c r="D7" s="4" t="inlineStr">
        <is>
          <t>3.1</t>
        </is>
      </c>
      <c r="E7" s="7">
        <f>'PERT (вариант Б)'!K6</f>
        <v>4.666666666666667</v>
      </c>
      <c r="F7" s="7">
        <f>'PERT (вариант Б)'!M6</f>
        <v>12.023629965</v>
      </c>
      <c r="G7" s="7">
        <f>ROUND(F7-E7,6)</f>
        <v>7.356963</v>
      </c>
    </row>
    <row r="8" ht="20" customHeight="1">
      <c r="A8" s="4" t="n">
        <v>3</v>
      </c>
      <c r="B8" s="5" t="inlineStr">
        <is>
          <t>Готово: Формализация правил совместимости</t>
        </is>
      </c>
      <c r="C8" s="4" t="inlineStr">
        <is>
          <t>4.1</t>
        </is>
      </c>
      <c r="D8" s="4" t="inlineStr">
        <is>
          <t>4.2</t>
        </is>
      </c>
      <c r="E8" s="7">
        <f>'PERT (вариант Б)'!K19</f>
        <v>5.238095238095238</v>
      </c>
      <c r="F8" s="7">
        <f>'PERT (вариант Б)'!M19</f>
        <v>30.630467572</v>
      </c>
      <c r="G8" s="7">
        <f>ROUND(F8-E8,6)</f>
        <v>25.392372</v>
      </c>
    </row>
    <row r="9" ht="20" customHeight="1">
      <c r="A9" s="4" t="n">
        <v>4</v>
      </c>
      <c r="B9" s="5" t="inlineStr">
        <is>
          <t>Готово: Проектирование пользовательского интерфейса</t>
        </is>
      </c>
      <c r="C9" s="4" t="inlineStr">
        <is>
          <t>2.3</t>
        </is>
      </c>
      <c r="D9" s="4" t="inlineStr">
        <is>
          <t>3.1, 3.3, 5.1</t>
        </is>
      </c>
      <c r="E9" s="7">
        <f>'PERT (вариант Б)'!K11</f>
        <v>8.143939393939394</v>
      </c>
      <c r="F9" s="7">
        <f>'PERT (вариант Б)'!M11</f>
        <v>12.023629965</v>
      </c>
      <c r="G9" s="7">
        <f>ROUND(F9-E9,6)</f>
        <v>3.879691</v>
      </c>
    </row>
    <row r="10" ht="20" customHeight="1">
      <c r="A10" s="16" t="n">
        <v>5</v>
      </c>
      <c r="B10" s="17" t="inlineStr">
        <is>
          <t>Готово: Проектирование архитектуры и базы данных</t>
        </is>
      </c>
      <c r="C10" s="4" t="inlineStr">
        <is>
          <t>2.2</t>
        </is>
      </c>
      <c r="D10" s="4" t="inlineStr">
        <is>
          <t>2.5, 3.1, 4.2, 5.1, 6.1</t>
        </is>
      </c>
      <c r="E10" s="7">
        <f>'PERT (вариант Б)'!K10</f>
        <v>9.117647058823529</v>
      </c>
      <c r="F10" s="7">
        <f>'PERT (вариант Б)'!M10</f>
        <v>9.117647059</v>
      </c>
      <c r="G10" s="18">
        <f>ROUND(F10-E10,6)</f>
        <v>0.0</v>
      </c>
    </row>
    <row r="11" ht="20" customHeight="1">
      <c r="A11" s="16" t="n">
        <v>6</v>
      </c>
      <c r="B11" s="17" t="inlineStr">
        <is>
          <t>Готово: Подготовка демонстрационных данных</t>
        </is>
      </c>
      <c r="C11" s="4" t="inlineStr">
        <is>
          <t>2.5</t>
        </is>
      </c>
      <c r="D11" s="4" t="inlineStr">
        <is>
          <t>3.1, 3.4, 3.5</t>
        </is>
      </c>
      <c r="E11" s="7">
        <f>'PERT (вариант Б)'!K13</f>
        <v>12.023629964806435</v>
      </c>
      <c r="F11" s="7">
        <f>'PERT (вариант Б)'!M13</f>
        <v>12.023629965</v>
      </c>
      <c r="G11" s="18">
        <f>ROUND(F11-E11,6)</f>
        <v>0.0</v>
      </c>
    </row>
    <row r="12" ht="20" customHeight="1">
      <c r="A12" s="16" t="n">
        <v>7</v>
      </c>
      <c r="B12" s="17" t="inlineStr">
        <is>
          <t>Готово: Реестр лошадей и карточка лошади</t>
        </is>
      </c>
      <c r="C12" s="4" t="inlineStr">
        <is>
          <t>3.1</t>
        </is>
      </c>
      <c r="D12" s="4" t="inlineStr">
        <is>
          <t>3.2, 3.3, 3.4, 4.2, 5.1</t>
        </is>
      </c>
      <c r="E12" s="7">
        <f>'PERT (вариант Б)'!K14</f>
        <v>17.963800904977376</v>
      </c>
      <c r="F12" s="7">
        <f>'PERT (вариант Б)'!M14</f>
        <v>17.963800905</v>
      </c>
      <c r="G12" s="18">
        <f>ROUND(F12-E12,6)</f>
        <v>0.0</v>
      </c>
    </row>
    <row r="13" ht="20" customHeight="1">
      <c r="A13" s="4" t="n">
        <v>8</v>
      </c>
      <c r="B13" s="5" t="inlineStr">
        <is>
          <t>Готово: Интеграция внешних сервисов (заглушки)</t>
        </is>
      </c>
      <c r="C13" s="4" t="inlineStr">
        <is>
          <t>6.1</t>
        </is>
      </c>
      <c r="D13" s="4" t="inlineStr">
        <is>
          <t>6.3</t>
        </is>
      </c>
      <c r="E13" s="7">
        <f>'PERT (вариант Б)'!K26</f>
        <v>19.415266106442576</v>
      </c>
      <c r="F13" s="7">
        <f>'PERT (вариант Б)'!M26</f>
        <v>39.588800905</v>
      </c>
      <c r="G13" s="7">
        <f>ROUND(F13-E13,6)</f>
        <v>20.173535</v>
      </c>
    </row>
    <row r="14" ht="20" customHeight="1">
      <c r="A14" s="4" t="n">
        <v>9</v>
      </c>
      <c r="B14" s="5" t="inlineStr">
        <is>
          <t>Готово: Ввод записей о состоянии и происшествиях</t>
        </is>
      </c>
      <c r="C14" s="4" t="inlineStr">
        <is>
          <t>3.3</t>
        </is>
      </c>
      <c r="D14" s="4" t="inlineStr">
        <is>
          <t>3.4, 3.5</t>
        </is>
      </c>
      <c r="E14" s="7">
        <f>'PERT (вариант Б)'!K16</f>
        <v>23.402397396205448</v>
      </c>
      <c r="F14" s="7">
        <f>'PERT (вариант Б)'!M16</f>
        <v>25.713800905</v>
      </c>
      <c r="G14" s="7">
        <f>ROUND(F14-E14,6)</f>
        <v>2.311404</v>
      </c>
    </row>
    <row r="15" ht="20" customHeight="1">
      <c r="A15" s="16" t="n">
        <v>10</v>
      </c>
      <c r="B15" s="17" t="inlineStr">
        <is>
          <t>Готово: Размещение и перемещения</t>
        </is>
      </c>
      <c r="C15" s="4" t="inlineStr">
        <is>
          <t>3.2</t>
        </is>
      </c>
      <c r="D15" s="4" t="inlineStr">
        <is>
          <t>3.5</t>
        </is>
      </c>
      <c r="E15" s="7">
        <f>'PERT (вариант Б)'!K15</f>
        <v>25.713800904977376</v>
      </c>
      <c r="F15" s="7">
        <f>'PERT (вариант Б)'!M15</f>
        <v>25.713800905</v>
      </c>
      <c r="G15" s="18">
        <f>ROUND(F15-E15,6)</f>
        <v>0.0</v>
      </c>
    </row>
    <row r="16" ht="20" customHeight="1">
      <c r="A16" s="4" t="n">
        <v>11</v>
      </c>
      <c r="B16" s="5" t="inlineStr">
        <is>
          <t>Готово: Проверка совместимости пар</t>
        </is>
      </c>
      <c r="C16" s="4" t="inlineStr">
        <is>
          <t>4.2</t>
        </is>
      </c>
      <c r="D16" s="4" t="inlineStr">
        <is>
          <t>6.3</t>
        </is>
      </c>
      <c r="E16" s="7">
        <f>'PERT (вариант Б)'!K20</f>
        <v>26.92213423831071</v>
      </c>
      <c r="F16" s="7">
        <f>'PERT (вариант Б)'!M20</f>
        <v>39.588800905</v>
      </c>
      <c r="G16" s="7">
        <f>ROUND(F16-E16,6)</f>
        <v>12.666667</v>
      </c>
    </row>
    <row r="17" ht="20" customHeight="1">
      <c r="A17" s="4" t="n">
        <v>12</v>
      </c>
      <c r="B17" s="5" t="inlineStr">
        <is>
          <t>Готово: Кабинет клиента и заявки</t>
        </is>
      </c>
      <c r="C17" s="4" t="inlineStr">
        <is>
          <t>5.1</t>
        </is>
      </c>
      <c r="D17" s="4" t="inlineStr">
        <is>
          <t>6.3</t>
        </is>
      </c>
      <c r="E17" s="7">
        <f>'PERT (вариант Б)'!K22</f>
        <v>27.086607922521235</v>
      </c>
      <c r="F17" s="7">
        <f>'PERT (вариант Б)'!M22</f>
        <v>39.588800905</v>
      </c>
      <c r="G17" s="7">
        <f>ROUND(F17-E17,6)</f>
        <v>12.502193</v>
      </c>
    </row>
    <row r="18" ht="20" customHeight="1">
      <c r="A18" s="4" t="n">
        <v>13</v>
      </c>
      <c r="B18" s="5" t="inlineStr">
        <is>
          <t>Готово: Справка «История жеребца»</t>
        </is>
      </c>
      <c r="C18" s="4" t="inlineStr">
        <is>
          <t>3.4</t>
        </is>
      </c>
      <c r="D18" s="4" t="inlineStr">
        <is>
          <t>6.4</t>
        </is>
      </c>
      <c r="E18" s="7">
        <f>'PERT (вариант Б)'!K17</f>
        <v>30.507660554100184</v>
      </c>
      <c r="F18" s="7">
        <f>'PERT (вариант Б)'!M17</f>
        <v>32.922134238</v>
      </c>
      <c r="G18" s="7">
        <f>ROUND(F18-E18,6)</f>
        <v>2.414474</v>
      </c>
    </row>
    <row r="19" ht="20" customHeight="1">
      <c r="A19" s="16" t="n">
        <v>14</v>
      </c>
      <c r="B19" s="17" t="inlineStr">
        <is>
          <t>Готово: Справка «Перемещения и контакты»</t>
        </is>
      </c>
      <c r="C19" s="4" t="inlineStr">
        <is>
          <t>3.5</t>
        </is>
      </c>
      <c r="D19" s="4" t="inlineStr">
        <is>
          <t>6.4</t>
        </is>
      </c>
      <c r="E19" s="7">
        <f>'PERT (вариант Б)'!K18</f>
        <v>32.92213423831071</v>
      </c>
      <c r="F19" s="7">
        <f>'PERT (вариант Б)'!M18</f>
        <v>32.922134238</v>
      </c>
      <c r="G19" s="18">
        <f>ROUND(F19-E19,6)</f>
        <v>0.0</v>
      </c>
    </row>
    <row r="20" ht="20" customHeight="1">
      <c r="A20" s="16" t="n">
        <v>15</v>
      </c>
      <c r="B20" s="17" t="inlineStr">
        <is>
          <t>Готово: Документация и приёмочные материалы</t>
        </is>
      </c>
      <c r="C20" s="4" t="inlineStr">
        <is>
          <t>6.4</t>
        </is>
      </c>
      <c r="D20" s="4" t="inlineStr">
        <is>
          <t>6.3</t>
        </is>
      </c>
      <c r="E20" s="7">
        <f>'PERT (вариант Б)'!K29</f>
        <v>39.588800904977376</v>
      </c>
      <c r="F20" s="7">
        <f>'PERT (вариант Б)'!M29</f>
        <v>39.588800905</v>
      </c>
      <c r="G20" s="18">
        <f>ROUND(F20-E20,6)</f>
        <v>0.0</v>
      </c>
    </row>
    <row r="21" ht="20" customHeight="1">
      <c r="A21" s="16" t="n">
        <v>16</v>
      </c>
      <c r="B21" s="17" t="inlineStr">
        <is>
          <t>Финальная приёмка пройдена</t>
        </is>
      </c>
      <c r="C21" s="4" t="inlineStr">
        <is>
          <t>6.3</t>
        </is>
      </c>
      <c r="D21" s="4" t="inlineStr">
        <is>
          <t>1.4</t>
        </is>
      </c>
      <c r="E21" s="7">
        <f>'PERT (вариант Б)'!K28</f>
        <v>41.61065882847464</v>
      </c>
      <c r="F21" s="7">
        <f>'PERT (вариант Б)'!M28</f>
        <v>41.610658828</v>
      </c>
      <c r="G21" s="18">
        <f>ROUND(F21-E21,6)</f>
        <v>0.0</v>
      </c>
    </row>
    <row r="22" ht="20" customHeight="1">
      <c r="A22" s="16" t="n">
        <v>17</v>
      </c>
      <c r="B22" s="17" t="inlineStr">
        <is>
          <t>Проект закрыт</t>
        </is>
      </c>
      <c r="C22" s="4" t="inlineStr">
        <is>
          <t>1.4</t>
        </is>
      </c>
      <c r="D22" s="4" t="inlineStr">
        <is>
          <t>—</t>
        </is>
      </c>
      <c r="E22" s="7">
        <f>'PERT (вариант Б)'!K8</f>
        <v>44.777325495141305</v>
      </c>
      <c r="F22" s="7">
        <f>'PERT (вариант Б)'!M8</f>
        <v>44.777325495141305</v>
      </c>
      <c r="G22" s="18">
        <f>ROUND(F22-E22,6)</f>
        <v>0.0</v>
      </c>
    </row>
  </sheetData>
  <mergeCells count="1">
    <mergeCell ref="A2:G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showGridLines="0"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32" customWidth="1" min="4" max="4"/>
  </cols>
  <sheetData>
    <row r="1" ht="22" customHeight="1">
      <c r="A1" s="1" t="inlineStr">
        <is>
          <t>Вероятность выполнения в срок и сверка с уставом</t>
        </is>
      </c>
    </row>
    <row r="3">
      <c r="A3" s="19" t="inlineStr">
        <is>
          <t>Вероятность срока (по сети)</t>
        </is>
      </c>
    </row>
    <row r="4" ht="20" customHeight="1">
      <c r="A4" s="3" t="inlineStr">
        <is>
          <t>Показатель</t>
        </is>
      </c>
      <c r="B4" s="3" t="inlineStr">
        <is>
          <t>Вариант А</t>
        </is>
      </c>
      <c r="C4" s="3" t="inlineStr">
        <is>
          <t>Вариант Б</t>
        </is>
      </c>
      <c r="D4" s="3" t="inlineStr">
        <is>
          <t>Формула</t>
        </is>
      </c>
    </row>
    <row r="5" ht="18" customHeight="1">
      <c r="A5" s="5" t="inlineStr">
        <is>
          <t>Часов в неделю</t>
        </is>
      </c>
      <c r="B5" s="6" t="n">
        <v>54</v>
      </c>
      <c r="C5" s="6" t="n">
        <v>68</v>
      </c>
      <c r="D5" s="5" t="inlineStr"/>
    </row>
    <row r="6" ht="18" customHeight="1">
      <c r="A6" s="5" t="inlineStr">
        <is>
          <t>Пакетов в расчёте</t>
        </is>
      </c>
      <c r="B6" s="6" t="n">
        <v>24</v>
      </c>
      <c r="C6" s="6" t="n">
        <v>20</v>
      </c>
      <c r="D6" s="5" t="inlineStr"/>
    </row>
    <row r="7" ht="18" customHeight="1">
      <c r="A7" s="5" t="inlineStr">
        <is>
          <t>Tкр, раб. дн</t>
        </is>
      </c>
      <c r="B7" s="15">
        <f>'PERT (вариант А)'!D31</f>
        <v>54.80155563846834</v>
      </c>
      <c r="C7" s="15">
        <f>'PERT (вариант Б)'!D31</f>
        <v>41.61065882847464</v>
      </c>
      <c r="D7" s="5" t="inlineStr">
        <is>
          <t>EF работы 6.3</t>
        </is>
      </c>
    </row>
    <row r="8" ht="18" customHeight="1">
      <c r="A8" s="5" t="inlineStr">
        <is>
          <t>Критический путь</t>
        </is>
      </c>
      <c r="B8" s="21" t="inlineStr">
        <is>
          <t>2.2 → 2.5 → 3.1 → 3.2 → 3.5 → 6.4 → 6.3</t>
        </is>
      </c>
      <c r="C8" s="21" t="inlineStr">
        <is>
          <t>2.2 → 2.5 → 3.1 → 3.2 → 3.5 → 6.4 → 6.3</t>
        </is>
      </c>
      <c r="D8" s="5" t="inlineStr"/>
    </row>
    <row r="9" ht="18" customHeight="1">
      <c r="A9" s="5" t="inlineStr">
        <is>
          <t>σкр, раб. дн</t>
        </is>
      </c>
      <c r="B9" s="7">
        <f>SQRT('PERT (вариант А)'!I10^2+'PERT (вариант А)'!I13^2+'PERT (вариант А)'!I14^2+'PERT (вариант А)'!I15^2+'PERT (вариант А)'!I18^2+'PERT (вариант А)'!I29^2+'PERT (вариант А)'!I28^2)</f>
        <v>3.526754720916667</v>
      </c>
      <c r="C9" s="7">
        <f>SQRT('PERT (вариант Б)'!I10^2+'PERT (вариант Б)'!I13^2+'PERT (вариант Б)'!I14^2+'PERT (вариант Б)'!I15^2+'PERT (вариант Б)'!I18^2+'PERT (вариант Б)'!I29^2+'PERT (вариант Б)'!I28^2)</f>
        <v>2.689843141733076</v>
      </c>
      <c r="D9" s="5" t="inlineStr">
        <is>
          <t>√Σσ² по критическому пути</t>
        </is>
      </c>
    </row>
    <row r="10" ht="18" customHeight="1">
      <c r="A10" s="5" t="inlineStr">
        <is>
          <t>Tдир, раб. дн</t>
        </is>
      </c>
      <c r="B10" s="6" t="n">
        <v>49</v>
      </c>
      <c r="C10" s="6" t="n">
        <v>49</v>
      </c>
      <c r="D10" s="5" t="inlineStr">
        <is>
          <t>19.10–25.12.2026</t>
        </is>
      </c>
    </row>
    <row r="11" ht="18" customHeight="1">
      <c r="A11" s="5" t="inlineStr">
        <is>
          <t>Tдир − Tкр, раб. дн</t>
        </is>
      </c>
      <c r="B11" s="7">
        <f>B10-B7</f>
        <v>-5.8015556384683435</v>
      </c>
      <c r="C11" s="7">
        <f>C10-C7</f>
        <v>7.389341171525359</v>
      </c>
      <c r="D11" s="5" t="inlineStr"/>
    </row>
    <row r="12" ht="18" customHeight="1">
      <c r="A12" s="5" t="inlineStr">
        <is>
          <t>z</t>
        </is>
      </c>
      <c r="B12" s="7">
        <f>(B10-B7)/B9</f>
        <v>-1.6450125108106226</v>
      </c>
      <c r="C12" s="7">
        <f>(C10-C7)/C9</f>
        <v>2.747127167707028</v>
      </c>
      <c r="D12" s="5" t="inlineStr">
        <is>
          <t>(Tдир − Tкр) / σкр</t>
        </is>
      </c>
    </row>
    <row r="13" ht="18" customHeight="1">
      <c r="A13" s="5" t="inlineStr">
        <is>
          <t>P(T ≤ Tдир)</t>
        </is>
      </c>
      <c r="B13" s="22">
        <f>NORMSDIST(B12)</f>
        <v>0.049983615552564864</v>
      </c>
      <c r="C13" s="22">
        <f>NORMSDIST(C12)</f>
        <v>0.996994009054109</v>
      </c>
      <c r="D13" s="5" t="inlineStr">
        <is>
          <t>Ф(z)</t>
        </is>
      </c>
    </row>
    <row r="15">
      <c r="A15" s="19" t="inlineStr">
        <is>
          <t>Трудоёмкость и фонд времени</t>
        </is>
      </c>
    </row>
    <row r="16" ht="20" customHeight="1">
      <c r="A16" s="3" t="inlineStr">
        <is>
          <t>Показатель</t>
        </is>
      </c>
      <c r="B16" s="3" t="inlineStr">
        <is>
          <t>Вариант А</t>
        </is>
      </c>
      <c r="C16" s="3" t="inlineStr">
        <is>
          <t>Вариант Б</t>
        </is>
      </c>
      <c r="D16" s="3" t="inlineStr">
        <is>
          <t>Формула</t>
        </is>
      </c>
    </row>
    <row r="17" ht="18" customHeight="1">
      <c r="A17" s="5" t="inlineStr">
        <is>
          <t>ΣE всех пакетов, ч</t>
        </is>
      </c>
      <c r="B17" s="7">
        <f>'Данные'!G30</f>
        <v>735.8333333333331</v>
      </c>
      <c r="C17" s="7">
        <f>'Данные'!G30</f>
        <v>735.8333333333331</v>
      </c>
      <c r="D17" s="5" t="inlineStr"/>
    </row>
    <row r="18" ht="18" customHeight="1">
      <c r="A18" s="5" t="inlineStr">
        <is>
          <t>Фонд времени по уставу, ч</t>
        </is>
      </c>
      <c r="B18" s="6" t="n">
        <v>810</v>
      </c>
      <c r="C18" s="6" t="n">
        <v>810</v>
      </c>
      <c r="D18" s="5" t="inlineStr">
        <is>
          <t>54 ч/нед × 15 нед</t>
        </is>
      </c>
    </row>
    <row r="19" ht="18" customHeight="1">
      <c r="A19" s="5" t="inlineStr">
        <is>
          <t>Запас фонда, ч</t>
        </is>
      </c>
      <c r="B19" s="7">
        <f>B18-B17</f>
        <v>74.16666666666686</v>
      </c>
      <c r="C19" s="7">
        <f>C18-C17</f>
        <v>74.16666666666686</v>
      </c>
      <c r="D19" s="5" t="inlineStr"/>
    </row>
    <row r="20" ht="18" customHeight="1">
      <c r="A20" s="5" t="inlineStr">
        <is>
          <t>Выполнено на 17.10, ч</t>
        </is>
      </c>
      <c r="B20" s="7">
        <f>'Данные'!G30-'Данные'!J30</f>
        <v>81.8677215189872</v>
      </c>
      <c r="C20" s="7">
        <f>'Данные'!G30-'Данные'!J30</f>
        <v>81.8677215189872</v>
      </c>
      <c r="D20" s="5" t="inlineStr"/>
    </row>
    <row r="21" ht="18" customHeight="1">
      <c r="A21" s="5" t="inlineStr">
        <is>
          <t>Остаток работ, ч</t>
        </is>
      </c>
      <c r="B21" s="15">
        <f>'Данные'!J30</f>
        <v>653.965611814346</v>
      </c>
      <c r="C21" s="15">
        <f>'Данные'!Q30</f>
        <v>546.6322784810126</v>
      </c>
      <c r="D21" s="5" t="inlineStr"/>
    </row>
    <row r="22" ht="18" customHeight="1">
      <c r="A22" s="5" t="inlineStr">
        <is>
          <t>Рабочих дней 19.10–31.12</t>
        </is>
      </c>
      <c r="B22" s="6" t="n">
        <v>53</v>
      </c>
      <c r="C22" s="6" t="n">
        <v>53</v>
      </c>
      <c r="D22" s="5" t="inlineStr"/>
    </row>
    <row r="23" ht="18" customHeight="1">
      <c r="A23" s="5" t="inlineStr">
        <is>
          <t>Фонд оставшегося времени, ч</t>
        </is>
      </c>
      <c r="B23" s="15">
        <f>B22*B5/5</f>
        <v>572.4</v>
      </c>
      <c r="C23" s="15">
        <f>C22*C5/5</f>
        <v>720.8</v>
      </c>
      <c r="D23" s="5" t="inlineStr">
        <is>
          <t>дни × ч/нед / 5</t>
        </is>
      </c>
    </row>
    <row r="24" ht="18" customHeight="1">
      <c r="A24" s="5" t="inlineStr">
        <is>
          <t>Запас (+) / дефицит (−), ч</t>
        </is>
      </c>
      <c r="B24" s="7">
        <f>B23-B21</f>
        <v>-81.56561181434597</v>
      </c>
      <c r="C24" s="7">
        <f>C23-C21</f>
        <v>174.16772151898738</v>
      </c>
      <c r="D24" s="5" t="inlineStr"/>
    </row>
    <row r="25" ht="18" customHeight="1">
      <c r="A25" s="5" t="inlineStr">
        <is>
          <t>Загрузка фонда</t>
        </is>
      </c>
      <c r="B25" s="8">
        <f>B21/B23</f>
        <v>1.142497574797949</v>
      </c>
      <c r="C25" s="8">
        <f>C21/C23</f>
        <v>0.7583688658171651</v>
      </c>
      <c r="D25" s="5" t="inlineStr"/>
    </row>
    <row r="26" ht="18" customHeight="1">
      <c r="A26" s="5" t="inlineStr">
        <is>
          <t>Всего часов по плану</t>
        </is>
      </c>
      <c r="B26" s="7">
        <f>B20+B21</f>
        <v>735.8333333333331</v>
      </c>
      <c r="C26" s="7">
        <f>C20+C21</f>
        <v>628.4999999999998</v>
      </c>
      <c r="D26" s="5" t="inlineStr"/>
    </row>
    <row r="28">
      <c r="A28" s="19" t="inlineStr">
        <is>
          <t>Стоимость, USD</t>
        </is>
      </c>
    </row>
    <row r="29" ht="20" customHeight="1">
      <c r="A29" s="3" t="inlineStr">
        <is>
          <t>Показатель</t>
        </is>
      </c>
      <c r="B29" s="3" t="inlineStr">
        <is>
          <t>Вариант А</t>
        </is>
      </c>
      <c r="C29" s="3" t="inlineStr">
        <is>
          <t>Вариант Б</t>
        </is>
      </c>
      <c r="D29" s="3" t="inlineStr">
        <is>
          <t>Формула</t>
        </is>
      </c>
    </row>
    <row r="30" ht="18" customHeight="1">
      <c r="A30" s="5" t="inlineStr">
        <is>
          <t>Работы по ставкам исполнителей</t>
        </is>
      </c>
      <c r="B30" s="23" t="n">
        <v>41176</v>
      </c>
      <c r="C30" s="23" t="n">
        <v>34706</v>
      </c>
      <c r="D30" s="5" t="inlineStr">
        <is>
          <t>часы × ставка</t>
        </is>
      </c>
    </row>
    <row r="31" ht="18" customHeight="1">
      <c r="A31" s="5" t="inlineStr">
        <is>
          <t>Резерв на риски 10%</t>
        </is>
      </c>
      <c r="B31" s="24">
        <f>B30*0.1</f>
        <v>4117.6</v>
      </c>
      <c r="C31" s="24">
        <f>C30*0.1</f>
        <v>3470.6000000000004</v>
      </c>
      <c r="D31" s="5" t="inlineStr"/>
    </row>
    <row r="32" ht="18" customHeight="1">
      <c r="A32" s="5" t="inlineStr">
        <is>
          <t>Итого с резервом</t>
        </is>
      </c>
      <c r="B32" s="23">
        <f>B30+B31</f>
        <v>45293.6</v>
      </c>
      <c r="C32" s="23">
        <f>C30+C31</f>
        <v>38176.6</v>
      </c>
      <c r="D32" s="5" t="inlineStr"/>
    </row>
    <row r="33" ht="18" customHeight="1">
      <c r="A33" s="5" t="inlineStr">
        <is>
          <t>Потолок бюджета</t>
        </is>
      </c>
      <c r="B33" s="24" t="n">
        <v>50000</v>
      </c>
      <c r="C33" s="24" t="n">
        <v>50000</v>
      </c>
      <c r="D33" s="5" t="inlineStr"/>
    </row>
    <row r="34" ht="18" customHeight="1">
      <c r="A34" s="5" t="inlineStr">
        <is>
          <t>Запас до потолка</t>
        </is>
      </c>
      <c r="B34" s="24">
        <f>B33-B32</f>
        <v>4706.4000000000015</v>
      </c>
      <c r="C34" s="24">
        <f>C33-C32</f>
        <v>11823.400000000001</v>
      </c>
      <c r="D34" s="5" t="inlineStr"/>
    </row>
    <row r="35" ht="18" customHeight="1">
      <c r="A35" s="5" t="inlineStr">
        <is>
          <t>По средней ставке 55 USD/ч</t>
        </is>
      </c>
      <c r="B35" s="24">
        <f>B26*55</f>
        <v>40470.83333333332</v>
      </c>
      <c r="C35" s="24">
        <f>C26*55</f>
        <v>34567.499999999985</v>
      </c>
      <c r="D35" s="5" t="inlineStr">
        <is>
          <t>как в сводной таблице</t>
        </is>
      </c>
    </row>
    <row r="37">
      <c r="A37" s="19" t="inlineStr">
        <is>
          <t>После выравнивания ресурсов (расписание)</t>
        </is>
      </c>
    </row>
    <row r="38" ht="20" customHeight="1">
      <c r="A38" s="3" t="inlineStr">
        <is>
          <t>Показатель</t>
        </is>
      </c>
      <c r="B38" s="3" t="inlineStr">
        <is>
          <t>Вариант А</t>
        </is>
      </c>
      <c r="C38" s="3" t="inlineStr">
        <is>
          <t>Вариант Б</t>
        </is>
      </c>
      <c r="D38" s="3" t="inlineStr">
        <is>
          <t>Формула</t>
        </is>
      </c>
    </row>
    <row r="39" ht="18" customHeight="1">
      <c r="A39" s="5" t="inlineStr">
        <is>
          <t>Окончание 6.3</t>
        </is>
      </c>
      <c r="B39" s="25" t="inlineStr">
        <is>
          <t>12.02.2027</t>
        </is>
      </c>
      <c r="C39" s="25" t="inlineStr">
        <is>
          <t>18.12.2026</t>
        </is>
      </c>
      <c r="D39" s="5" t="inlineStr"/>
    </row>
    <row r="40" ht="18" customHeight="1">
      <c r="A40" s="5" t="inlineStr">
        <is>
          <t>Запас до 25.12, раб. дн</t>
        </is>
      </c>
      <c r="B40" s="26" t="n">
        <v>-28.50410193476463</v>
      </c>
      <c r="C40" s="26" t="n">
        <v>5.097674504858688</v>
      </c>
      <c r="D40" s="5" t="inlineStr"/>
    </row>
    <row r="41" ht="18" customHeight="1">
      <c r="A41" s="5" t="inlineStr">
        <is>
          <t>P(успеть)</t>
        </is>
      </c>
      <c r="B41" s="22" t="n">
        <v>8.528727724055329e-11</v>
      </c>
      <c r="C41" s="22" t="n">
        <v>0.9602108903995774</v>
      </c>
      <c r="D41" s="5" t="inlineStr"/>
    </row>
    <row r="43">
      <c r="A43" s="19" t="inlineStr">
        <is>
          <t>Вывод</t>
        </is>
      </c>
    </row>
    <row r="44" ht="32" customHeight="1">
      <c r="A44" s="2" t="inlineStr">
        <is>
          <t>Вариант А (все пакеты, 54 ч/нед) в срок не укладывается: Tкр = 54,8 раб. дн при Tдир = 49, P = 5,0%. Остаток работ 654 ч больше фонда оставшегося времени 572 ч.</t>
        </is>
      </c>
    </row>
    <row r="45" ht="32" customHeight="1">
      <c r="A45" s="2" t="inlineStr">
        <is>
          <t>Вариант Б (Must и 5.1, каждому +2 ч/нед): Tкр = 41,6 раб. дн, P = 99,7%. После выравнивания ресурсов приёмка заканчивается 18.12.2026, запас 5,1 раб. дн, P = 96%.</t>
        </is>
      </c>
    </row>
    <row r="46" ht="32" customHeight="1">
      <c r="A46" s="2" t="inlineStr">
        <is>
          <t>Стоимость варианта Б 34 706 USD, с резервом 38 177 USD. Изменения к уставу приведены на листе «Изменения».</t>
        </is>
      </c>
    </row>
  </sheetData>
  <mergeCells count="3">
    <mergeCell ref="A45:D45"/>
    <mergeCell ref="A46:D46"/>
    <mergeCell ref="A44:D44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11" customWidth="1" min="4" max="4"/>
    <col width="12" customWidth="1" min="5" max="5"/>
    <col width="11" customWidth="1" min="6" max="6"/>
    <col width="9" customWidth="1" min="7" max="7"/>
    <col width="10" customWidth="1" min="8" max="8"/>
    <col width="15" customWidth="1" min="9" max="9"/>
    <col width="12" customWidth="1" min="10" max="10"/>
    <col width="12" customWidth="1" min="11" max="11"/>
    <col width="17" customWidth="1" min="12" max="12"/>
  </cols>
  <sheetData>
    <row r="1" ht="22" customHeight="1">
      <c r="A1" s="1" t="inlineStr">
        <is>
          <t>Сценарии: недельная нагрузка и состав пакетов</t>
        </is>
      </c>
    </row>
    <row r="3" ht="46" customHeight="1">
      <c r="A3" s="3" t="inlineStr">
        <is>
          <t>Вариант</t>
        </is>
      </c>
      <c r="B3" s="3" t="inlineStr">
        <is>
          <t>Ч/нед</t>
        </is>
      </c>
      <c r="C3" s="3" t="inlineStr">
        <is>
          <t>Состав</t>
        </is>
      </c>
      <c r="D3" s="3" t="inlineStr">
        <is>
          <t>Остаток работ, ч</t>
        </is>
      </c>
      <c r="E3" s="3" t="inlineStr">
        <is>
          <t>Фонд 19.10–31.12, ч</t>
        </is>
      </c>
      <c r="F3" s="3" t="inlineStr">
        <is>
          <t>Загрузка фонда</t>
        </is>
      </c>
      <c r="G3" s="3" t="inlineStr">
        <is>
          <t>Tкр, дн</t>
        </is>
      </c>
      <c r="H3" s="3" t="inlineStr">
        <is>
          <t>P по сети</t>
        </is>
      </c>
      <c r="I3" s="3" t="inlineStr">
        <is>
          <t>Окончание 6.3</t>
        </is>
      </c>
      <c r="J3" s="3" t="inlineStr">
        <is>
          <t>Запас до 25.12, дн</t>
        </is>
      </c>
      <c r="K3" s="3" t="inlineStr">
        <is>
          <t>P по расписанию</t>
        </is>
      </c>
      <c r="L3" s="3" t="inlineStr">
        <is>
          <t>Итог</t>
        </is>
      </c>
    </row>
    <row r="4" ht="20" customHeight="1">
      <c r="A4" s="4" t="inlineStr">
        <is>
          <t>А</t>
        </is>
      </c>
      <c r="B4" s="6" t="n">
        <v>54</v>
      </c>
      <c r="C4" s="5" t="inlineStr">
        <is>
          <t>Полный объём (25 пакетов)</t>
        </is>
      </c>
      <c r="D4" s="6" t="n">
        <v>653.9656118143459</v>
      </c>
      <c r="E4" s="6" t="n">
        <v>572.4</v>
      </c>
      <c r="F4" s="8" t="n">
        <v>1.142497574797949</v>
      </c>
      <c r="G4" s="26" t="n">
        <v>54.80155563846834</v>
      </c>
      <c r="H4" s="27" t="n">
        <v>0.04998361555256486</v>
      </c>
      <c r="I4" s="4" t="inlineStr">
        <is>
          <t>12.02.2027</t>
        </is>
      </c>
      <c r="J4" s="28" t="n">
        <v>-28.50410193476463</v>
      </c>
      <c r="K4" s="27" t="n">
        <v>8.528727724055329e-11</v>
      </c>
      <c r="L4" s="16" t="inlineStr">
        <is>
          <t>не укладывается</t>
        </is>
      </c>
    </row>
    <row r="5" ht="20" customHeight="1">
      <c r="A5" s="4" t="inlineStr"/>
      <c r="B5" s="6" t="n">
        <v>54</v>
      </c>
      <c r="C5" s="5" t="inlineStr">
        <is>
          <t>Без 5.4 (Could)</t>
        </is>
      </c>
      <c r="D5" s="6" t="n">
        <v>633.2989451476792</v>
      </c>
      <c r="E5" s="6" t="n">
        <v>572.4</v>
      </c>
      <c r="F5" s="8" t="n">
        <v>1.106392287120334</v>
      </c>
      <c r="G5" s="26" t="n">
        <v>54.80155563846834</v>
      </c>
      <c r="H5" s="27" t="n">
        <v>0.04998361555256486</v>
      </c>
      <c r="I5" s="4" t="inlineStr">
        <is>
          <t>12.02.2027</t>
        </is>
      </c>
      <c r="J5" s="28" t="n">
        <v>-28.50410193476463</v>
      </c>
      <c r="K5" s="27" t="n">
        <v>8.528727724055329e-11</v>
      </c>
      <c r="L5" s="16" t="inlineStr">
        <is>
          <t>не укладывается</t>
        </is>
      </c>
    </row>
    <row r="6" ht="20" customHeight="1">
      <c r="A6" s="4" t="inlineStr"/>
      <c r="B6" s="6" t="n">
        <v>54</v>
      </c>
      <c r="C6" s="5" t="inlineStr">
        <is>
          <t>Must + 5.1</t>
        </is>
      </c>
      <c r="D6" s="6" t="n">
        <v>546.6322784810126</v>
      </c>
      <c r="E6" s="6" t="n">
        <v>572.4</v>
      </c>
      <c r="F6" s="8" t="n">
        <v>0.9549830162142079</v>
      </c>
      <c r="G6" s="26" t="n">
        <v>54.80155563846834</v>
      </c>
      <c r="H6" s="27" t="n">
        <v>0.04998361555256486</v>
      </c>
      <c r="I6" s="4" t="inlineStr">
        <is>
          <t>13.01.2027</t>
        </is>
      </c>
      <c r="J6" s="28" t="n">
        <v>-6.629101934764634</v>
      </c>
      <c r="K6" s="27" t="n">
        <v>0.03594586478626832</v>
      </c>
      <c r="L6" s="16" t="inlineStr">
        <is>
          <t>не укладывается</t>
        </is>
      </c>
    </row>
    <row r="7" ht="20" customHeight="1">
      <c r="A7" s="4" t="inlineStr"/>
      <c r="B7" s="6" t="n">
        <v>54</v>
      </c>
      <c r="C7" s="5" t="inlineStr">
        <is>
          <t>Только Must</t>
        </is>
      </c>
      <c r="D7" s="6" t="n">
        <v>511.965611814346</v>
      </c>
      <c r="E7" s="6" t="n">
        <v>572.4</v>
      </c>
      <c r="F7" s="8" t="n">
        <v>0.8944193078517576</v>
      </c>
      <c r="G7" s="26" t="n">
        <v>54.80155563846834</v>
      </c>
      <c r="H7" s="27" t="n">
        <v>0.04998361555256486</v>
      </c>
      <c r="I7" s="4" t="inlineStr">
        <is>
          <t>13.01.2027</t>
        </is>
      </c>
      <c r="J7" s="28" t="n">
        <v>-6.629101934764634</v>
      </c>
      <c r="K7" s="27" t="n">
        <v>0.03594586478626832</v>
      </c>
      <c r="L7" s="16" t="inlineStr">
        <is>
          <t>не укладывается</t>
        </is>
      </c>
    </row>
    <row r="8" ht="20" customHeight="1">
      <c r="A8" s="4" t="inlineStr"/>
      <c r="B8" s="6" t="n">
        <v>61</v>
      </c>
      <c r="C8" s="5" t="inlineStr">
        <is>
          <t>Must + 5.1</t>
        </is>
      </c>
      <c r="D8" s="6" t="n">
        <v>546.6322784810126</v>
      </c>
      <c r="E8" s="6" t="n">
        <v>646.6</v>
      </c>
      <c r="F8" s="8" t="n">
        <v>0.8453948012388069</v>
      </c>
      <c r="G8" s="26" t="n">
        <v>47.23208453998784</v>
      </c>
      <c r="H8" s="27" t="n">
        <v>0.7191893077344336</v>
      </c>
      <c r="I8" s="4" t="inlineStr">
        <is>
          <t>25.12.2026</t>
        </is>
      </c>
      <c r="J8" s="28" t="n">
        <v>-0.06984621470603258</v>
      </c>
      <c r="K8" s="27" t="n">
        <v>0.4914253207821226</v>
      </c>
      <c r="L8" s="16" t="inlineStr">
        <is>
          <t>не укладывается</t>
        </is>
      </c>
    </row>
    <row r="9" ht="20" customHeight="1">
      <c r="A9" s="4" t="inlineStr"/>
      <c r="B9" s="6" t="n">
        <v>68</v>
      </c>
      <c r="C9" s="5" t="inlineStr">
        <is>
          <t>Полный объём (25 пакетов)</t>
        </is>
      </c>
      <c r="D9" s="6" t="n">
        <v>653.9656118143459</v>
      </c>
      <c r="E9" s="6" t="n">
        <v>720.8</v>
      </c>
      <c r="F9" s="8" t="n">
        <v>0.9072774858689595</v>
      </c>
      <c r="G9" s="26" t="n">
        <v>42.92425531970271</v>
      </c>
      <c r="H9" s="27" t="n">
        <v>0.9833708003567176</v>
      </c>
      <c r="I9" s="4" t="inlineStr">
        <is>
          <t>20.01.2027</t>
        </is>
      </c>
      <c r="J9" s="28" t="n">
        <v>-12.40232549514131</v>
      </c>
      <c r="K9" s="27" t="n">
        <v>0.000228743382403529</v>
      </c>
      <c r="L9" s="16" t="inlineStr">
        <is>
          <t>не укладывается</t>
        </is>
      </c>
    </row>
    <row r="10" ht="20" customHeight="1">
      <c r="A10" s="4" t="inlineStr"/>
      <c r="B10" s="6" t="n">
        <v>68</v>
      </c>
      <c r="C10" s="5" t="inlineStr">
        <is>
          <t>Must + 4.3 + 5.1</t>
        </is>
      </c>
      <c r="D10" s="6" t="n">
        <v>585.6322784810126</v>
      </c>
      <c r="E10" s="6" t="n">
        <v>720.8</v>
      </c>
      <c r="F10" s="8" t="n">
        <v>0.8124754140968543</v>
      </c>
      <c r="G10" s="26" t="n">
        <v>41.61065882847464</v>
      </c>
      <c r="H10" s="27" t="n">
        <v>0.996994009054109</v>
      </c>
      <c r="I10" s="4" t="inlineStr">
        <is>
          <t>11.01.2027</t>
        </is>
      </c>
      <c r="J10" s="28" t="n">
        <v>-4.652325495141312</v>
      </c>
      <c r="K10" s="27" t="n">
        <v>0.07998625020454936</v>
      </c>
      <c r="L10" s="16" t="inlineStr">
        <is>
          <t>не укладывается</t>
        </is>
      </c>
    </row>
    <row r="11" ht="20" customHeight="1">
      <c r="A11" s="29" t="inlineStr">
        <is>
          <t>Б</t>
        </is>
      </c>
      <c r="B11" s="14" t="n">
        <v>68</v>
      </c>
      <c r="C11" s="13" t="inlineStr">
        <is>
          <t>Must + 5.1 — базовый план</t>
        </is>
      </c>
      <c r="D11" s="14" t="n">
        <v>546.6322784810126</v>
      </c>
      <c r="E11" s="14" t="n">
        <v>720.8</v>
      </c>
      <c r="F11" s="30" t="n">
        <v>0.7583688658171651</v>
      </c>
      <c r="G11" s="31" t="n">
        <v>41.61065882847464</v>
      </c>
      <c r="H11" s="22" t="n">
        <v>0.996994009054109</v>
      </c>
      <c r="I11" s="29" t="inlineStr">
        <is>
          <t>18.12.2026</t>
        </is>
      </c>
      <c r="J11" s="32" t="n">
        <v>5.097674504858688</v>
      </c>
      <c r="K11" s="22" t="n">
        <v>0.9602108903995774</v>
      </c>
      <c r="L11" s="33" t="inlineStr">
        <is>
          <t>укладывается</t>
        </is>
      </c>
    </row>
    <row r="12" ht="20" customHeight="1">
      <c r="A12" s="4" t="inlineStr"/>
      <c r="B12" s="6" t="n">
        <v>68</v>
      </c>
      <c r="C12" s="5" t="inlineStr">
        <is>
          <t>Must + 4.3 вместо 5.1</t>
        </is>
      </c>
      <c r="D12" s="6" t="n">
        <v>550.9656118143459</v>
      </c>
      <c r="E12" s="6" t="n">
        <v>720.8</v>
      </c>
      <c r="F12" s="8" t="n">
        <v>0.7643807045149084</v>
      </c>
      <c r="G12" s="26" t="n">
        <v>41.61065882847464</v>
      </c>
      <c r="H12" s="27" t="n">
        <v>0.996994009054109</v>
      </c>
      <c r="I12" s="4" t="inlineStr">
        <is>
          <t>18.12.2026</t>
        </is>
      </c>
      <c r="J12" s="28" t="n">
        <v>5.097674504858688</v>
      </c>
      <c r="K12" s="27" t="n">
        <v>0.9602108903995774</v>
      </c>
      <c r="L12" s="34" t="inlineStr">
        <is>
          <t>укладывается</t>
        </is>
      </c>
    </row>
    <row r="13" ht="20" customHeight="1">
      <c r="A13" s="4" t="inlineStr"/>
      <c r="B13" s="6" t="n">
        <v>68</v>
      </c>
      <c r="C13" s="5" t="inlineStr">
        <is>
          <t>Только Must</t>
        </is>
      </c>
      <c r="D13" s="6" t="n">
        <v>511.965611814346</v>
      </c>
      <c r="E13" s="6" t="n">
        <v>720.8</v>
      </c>
      <c r="F13" s="8" t="n">
        <v>0.7102741562352193</v>
      </c>
      <c r="G13" s="26" t="n">
        <v>41.61065882847464</v>
      </c>
      <c r="H13" s="27" t="n">
        <v>0.996994009054109</v>
      </c>
      <c r="I13" s="4" t="inlineStr">
        <is>
          <t>18.12.2026</t>
        </is>
      </c>
      <c r="J13" s="28" t="n">
        <v>5.097674504858688</v>
      </c>
      <c r="K13" s="27" t="n">
        <v>0.9602108903995774</v>
      </c>
      <c r="L13" s="34" t="inlineStr">
        <is>
          <t>укладывается</t>
        </is>
      </c>
    </row>
    <row r="14" ht="20" customHeight="1">
      <c r="A14" s="4" t="inlineStr"/>
      <c r="B14" s="6" t="n">
        <v>75</v>
      </c>
      <c r="C14" s="5" t="inlineStr">
        <is>
          <t>Must + 4.3 + 5.1</t>
        </is>
      </c>
      <c r="D14" s="6" t="n">
        <v>585.6322784810126</v>
      </c>
      <c r="E14" s="6" t="n">
        <v>795</v>
      </c>
      <c r="F14" s="8" t="n">
        <v>0.7366443754478146</v>
      </c>
      <c r="G14" s="26" t="n">
        <v>37.23668767385097</v>
      </c>
      <c r="H14" s="27" t="n">
        <v>0.9999994584523955</v>
      </c>
      <c r="I14" s="4" t="inlineStr">
        <is>
          <t>25.12.2026</t>
        </is>
      </c>
      <c r="J14" s="28" t="n">
        <v>0.4123022251389301</v>
      </c>
      <c r="K14" s="27" t="n">
        <v>0.5546657062988023</v>
      </c>
      <c r="L14" s="35" t="inlineStr">
        <is>
          <t>на грани</t>
        </is>
      </c>
    </row>
    <row r="15" ht="20" customHeight="1">
      <c r="A15" s="4" t="inlineStr"/>
      <c r="B15" s="6" t="n">
        <v>82</v>
      </c>
      <c r="C15" s="5" t="inlineStr">
        <is>
          <t>Must + 4.3 + 5.1</t>
        </is>
      </c>
      <c r="D15" s="6" t="n">
        <v>585.6322784810126</v>
      </c>
      <c r="E15" s="6" t="n">
        <v>869.2</v>
      </c>
      <c r="F15" s="8" t="n">
        <v>0.6737600994949523</v>
      </c>
      <c r="G15" s="26" t="n">
        <v>33.7217434099433</v>
      </c>
      <c r="H15" s="27" t="n">
        <v>0.9999999999985141</v>
      </c>
      <c r="I15" s="4" t="inlineStr">
        <is>
          <t>18.12.2026</t>
        </is>
      </c>
      <c r="J15" s="28" t="n">
        <v>4.600259514033311</v>
      </c>
      <c r="K15" s="27" t="n">
        <v>0.9533057837533094</v>
      </c>
      <c r="L15" s="34" t="inlineStr">
        <is>
          <t>укладывается</t>
        </is>
      </c>
    </row>
    <row r="16" ht="20" customHeight="1">
      <c r="A16" s="4" t="inlineStr"/>
      <c r="B16" s="6" t="n">
        <v>82</v>
      </c>
      <c r="C16" s="5" t="inlineStr">
        <is>
          <t>Полный объём (25 пакетов)</t>
        </is>
      </c>
      <c r="D16" s="6" t="n">
        <v>653.9656118143459</v>
      </c>
      <c r="E16" s="6" t="n">
        <v>869.2</v>
      </c>
      <c r="F16" s="8" t="n">
        <v>0.7523764516962103</v>
      </c>
      <c r="G16" s="26" t="n">
        <v>35.42027188693288</v>
      </c>
      <c r="H16" s="27" t="n">
        <v>0.9999999958734673</v>
      </c>
      <c r="I16" s="4" t="inlineStr">
        <is>
          <t>29.12.2026</t>
        </is>
      </c>
      <c r="J16" s="28" t="n">
        <v>-1.858073819300031</v>
      </c>
      <c r="K16" s="27" t="n">
        <v>0.2632060343613107</v>
      </c>
      <c r="L16" s="16" t="inlineStr">
        <is>
          <t>не укладывается</t>
        </is>
      </c>
    </row>
    <row r="18">
      <c r="A18" s="20" t="inlineStr">
        <is>
          <t>Запас от 3 раб. дн — укладывается, от 0 до 3 — на грани.</t>
        </is>
      </c>
    </row>
    <row r="19">
      <c r="A19" s="36" t="inlineStr">
        <is>
          <t>При 54 ч/нед не помещаются даже Must-пакеты. При +2 ч/нед каждому помещаются Must и один пакет Should (5.1 или 4.3).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40" customWidth="1" min="4" max="4"/>
    <col width="24" customWidth="1" min="5" max="5"/>
    <col width="54" customWidth="1" min="6" max="6"/>
  </cols>
  <sheetData>
    <row r="1" ht="22" customHeight="1">
      <c r="A1" s="1" t="inlineStr">
        <is>
          <t>Изменения к уставу (запрос на изменение № 1)</t>
        </is>
      </c>
    </row>
    <row r="2" ht="18" customHeight="1">
      <c r="A2" s="2" t="inlineStr">
        <is>
          <t>Требуют согласования по п. 4.2 устава.</t>
        </is>
      </c>
    </row>
    <row r="4" ht="22" customHeight="1">
      <c r="A4" s="3" t="inlineStr">
        <is>
          <t>№</t>
        </is>
      </c>
      <c r="B4" s="3" t="inlineStr">
        <is>
          <t>Что меняется</t>
        </is>
      </c>
      <c r="C4" s="3" t="inlineStr">
        <is>
          <t>По уставу</t>
        </is>
      </c>
      <c r="D4" s="3" t="inlineStr">
        <is>
          <t>Предлагается</t>
        </is>
      </c>
      <c r="E4" s="3" t="inlineStr">
        <is>
          <t>Согласует</t>
        </is>
      </c>
      <c r="F4" s="3" t="inlineStr">
        <is>
          <t>Последствия</t>
        </is>
      </c>
    </row>
    <row r="5" ht="32" customHeight="1">
      <c r="A5" s="4" t="n">
        <v>1</v>
      </c>
      <c r="B5" s="37" t="inlineStr">
        <is>
          <t>Часы в неделю</t>
        </is>
      </c>
      <c r="C5" s="37" t="inlineStr">
        <is>
          <t>54 (10 / 8 / 10 / 8 / 6 / 6 / 6)</t>
        </is>
      </c>
      <c r="D5" s="37" t="inlineStr">
        <is>
          <t>68: каждому +2 ч с 19.10 по 31.12</t>
        </is>
      </c>
      <c r="E5" s="37" t="inlineStr">
        <is>
          <t>команда, куратор, заказчик</t>
        </is>
      </c>
      <c r="F5" s="37" t="inlineStr">
        <is>
          <t>Всего по плану 628 ч (фонд 810 ч). Стоимость 34 706 USD, с резервом 38 177 USD.</t>
        </is>
      </c>
    </row>
    <row r="6" ht="32" customHeight="1">
      <c r="A6" s="4" t="n">
        <v>2</v>
      </c>
      <c r="B6" s="37" t="inlineStr">
        <is>
          <t>Пакет 5.4 (Could)</t>
        </is>
      </c>
      <c r="C6" s="37" t="inlineStr">
        <is>
          <t>по возможности</t>
        </is>
      </c>
      <c r="D6" s="37" t="inlineStr">
        <is>
          <t>исключить</t>
        </is>
      </c>
      <c r="E6" s="37" t="inlineStr">
        <is>
          <t>урезается первым по п. 3.3</t>
        </is>
      </c>
      <c r="F6" s="37" t="inlineStr">
        <is>
          <t>Снимается критерий приёмки 16.</t>
        </is>
      </c>
    </row>
    <row r="7" ht="48" customHeight="1">
      <c r="A7" s="4" t="n">
        <v>3</v>
      </c>
      <c r="B7" s="37" t="inlineStr">
        <is>
          <t>Пакеты Should</t>
        </is>
      </c>
      <c r="C7" s="37" t="inlineStr">
        <is>
          <t>4.3, 5.1, 5.2, 5.3</t>
        </is>
      </c>
      <c r="D7" s="37" t="inlineStr">
        <is>
          <t>оставить 5.1; исключить 4.3, 5.2, 5.3</t>
        </is>
      </c>
      <c r="E7" s="37" t="inlineStr">
        <is>
          <t>заказчик</t>
        </is>
      </c>
      <c r="F7" s="37" t="inlineStr">
        <is>
          <t>Ц5 не выполняется, Ц4 частично. Сквозной сценарий: заявка, проверка совместимости, реестр. Критерии 9 и 10 снимаются, 8 и 11 уточняются.</t>
        </is>
      </c>
    </row>
    <row r="8" ht="32" customHeight="1">
      <c r="A8" s="4" t="n">
        <v>4</v>
      </c>
      <c r="B8" s="37" t="inlineStr">
        <is>
          <t>Какой пакет Should оставить</t>
        </is>
      </c>
      <c r="C8" s="37" t="inlineStr">
        <is>
          <t>приоритеты А-14: очередь, заявки, счета</t>
        </is>
      </c>
      <c r="D8" s="37" t="inlineStr">
        <is>
          <t>5.1 (вторая роль пользователя — клиент). Замена с тем же сроком: 4.3</t>
        </is>
      </c>
      <c r="E8" s="37" t="inlineStr">
        <is>
          <t>заказчик</t>
        </is>
      </c>
      <c r="F8" s="37" t="inlineStr">
        <is>
          <t>С 5.1 нет очереди и календаря, с 4.3 нет роли клиента.</t>
        </is>
      </c>
    </row>
    <row r="9" ht="64" customHeight="1">
      <c r="A9" s="4" t="n">
        <v>5</v>
      </c>
      <c r="B9" s="37" t="inlineStr">
        <is>
          <t>Содержание вех</t>
        </is>
      </c>
      <c r="C9" s="37" t="inlineStr">
        <is>
          <t>В1: реестр, размещение; В2: справки, ввод записей; В3: совместимость, заявки, очередь; В4: счета, приёмка</t>
        </is>
      </c>
      <c r="D9" s="37" t="inlineStr">
        <is>
          <t>В1: 2.5, 3.1, 4.1; В2: 3.2, 3.3, 6.1; В3: 3.4, 3.5; В4: 4.2, 5.1, 6.4, приёмка</t>
        </is>
      </c>
      <c r="E9" s="37" t="inlineStr">
        <is>
          <t>заказчик, куратор</t>
        </is>
      </c>
      <c r="F9" s="37" t="inlineStr">
        <is>
          <t>Справки показываются на В3 вместо В2, размещение на В2 вместо В1. Пакеты 4.2 и 5.1 показываются на финальной паре.</t>
        </is>
      </c>
    </row>
    <row r="10" ht="32" customHeight="1">
      <c r="A10" s="4" t="n">
        <v>6</v>
      </c>
      <c r="B10" s="37" t="inlineStr">
        <is>
          <t>Если +2 ч/нед не согласованы</t>
        </is>
      </c>
      <c r="C10" s="37" t="inlineStr">
        <is>
          <t>—</t>
        </is>
      </c>
      <c r="D10" s="37" t="inlineStr">
        <is>
          <t>при 54 ч/нед Must-пакеты заканчиваются 13.01.2027</t>
        </is>
      </c>
      <c r="E10" s="37" t="inlineStr">
        <is>
          <t>заказчик, куратор</t>
        </is>
      </c>
      <c r="F10" s="37" t="inlineStr">
        <is>
          <t>Придётся урезать Must-пакеты или понизить уровень реализации.</t>
        </is>
      </c>
    </row>
  </sheetData>
  <mergeCells count="1">
    <mergeCell ref="A2:F2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25" customWidth="1" min="2" max="2"/>
  </cols>
  <sheetData>
    <row r="1" ht="22" customHeight="1">
      <c r="A1" s="1" t="inlineStr">
        <is>
          <t>Допущения расчёта</t>
        </is>
      </c>
    </row>
    <row r="3" ht="18" customHeight="1">
      <c r="A3" s="38" t="n">
        <v>1</v>
      </c>
      <c r="B3" s="2" t="inlineStr">
        <is>
          <t>Статус-дата 17.10.2026. Рассчитываются оставшиеся работы, отсчёт с 19.10.2026. Рабочие дни: пн–пт, кроме 04.11.2026.</t>
        </is>
      </c>
    </row>
    <row r="4" ht="18" customHeight="1">
      <c r="A4" s="38" t="n">
        <v>2</v>
      </c>
      <c r="B4" s="2" t="inlineStr">
        <is>
          <t>Готовность на статус-дату: 1.1 — 100%, 1.2 — 60%, 2.1 — 70%, 1.3 — 38% (по времени), остальные пакеты не начаты.</t>
        </is>
      </c>
    </row>
    <row r="5" ht="34" customHeight="1">
      <c r="A5" s="38" t="n">
        <v>3</v>
      </c>
      <c r="B5" s="2" t="inlineStr">
        <is>
          <t>O, M, P взяты из сводной таблицы оценок. E = (O + 4M + P) / 6, σ = (P − O) / 6. Для начатых пакетов остаток пропорционален готовности.</t>
        </is>
      </c>
    </row>
    <row r="6" ht="18" customHeight="1">
      <c r="A6" s="38" t="n">
        <v>4</v>
      </c>
      <c r="B6" s="2" t="inlineStr">
        <is>
          <t>D = E ост. / мощность. Мощность — сумма часов в день исполнителей пакета (ч/нед : 5) без часов, занятых гамаками.</t>
        </is>
      </c>
    </row>
    <row r="7" ht="50" customHeight="1">
      <c r="A7" s="38" t="n">
        <v>5</v>
      </c>
      <c r="B7" s="2" t="inlineStr">
        <is>
          <t>Гамаки (растянутые работы): 1.3, остаток 2.1, 6.2. Длительность берётся из сети. Под них отведено: руководитель проекта 4 ч/нед, аналитик 1 ч/нед, техред 2 ч/нед (в варианте А 3 ч/нед); тестировщик с начала 3.1 занят только тестированием.</t>
        </is>
      </c>
    </row>
    <row r="8" ht="34" customHeight="1">
      <c r="A8" s="38" t="n">
        <v>6</v>
      </c>
      <c r="B8" s="2" t="inlineStr">
        <is>
          <t>6.3 в сети — подготовка и проведение финальной приёмки. Tдир = 49 раб. дн (25.12.2026, последний рабочий день перед парой 26.12). Закрытие 1.4 — 28–31.12.2026.</t>
        </is>
      </c>
    </row>
    <row r="9" ht="18" customHeight="1">
      <c r="A9" s="38" t="n">
        <v>7</v>
      </c>
      <c r="B9" s="2" t="inlineStr">
        <is>
          <t>Связи «окончание–начало» взяты из сводной таблицы оценок, отличия указаны на листе «Данные».</t>
        </is>
      </c>
    </row>
    <row r="10" ht="18" customHeight="1">
      <c r="A10" s="38" t="n">
        <v>8</v>
      </c>
      <c r="B10" s="2" t="inlineStr">
        <is>
          <t>Вероятность срока: z = (Tдир − Tкр) / σкр, σкр = √Σσ² по критическому пути, P = Ф(z).</t>
        </is>
      </c>
    </row>
    <row r="11" ht="34" customHeight="1">
      <c r="A11" s="38" t="n">
        <v>9</v>
      </c>
      <c r="B11" s="2" t="inlineStr">
        <is>
          <t>Расписание: один человек одновременно занят в одном пакете; при конфликте раньше идёт работа с меньшим поздним началом (файл «Расписание»).</t>
        </is>
      </c>
    </row>
    <row r="12" ht="18" customHeight="1">
      <c r="A12" s="38" t="n">
        <v>10</v>
      </c>
      <c r="B12" s="2" t="inlineStr">
        <is>
          <t>Стоимость — часы исполнителя × его ставка (устав, п. 5.5).</t>
        </is>
      </c>
    </row>
    <row r="13" ht="18" customHeight="1">
      <c r="A13" s="38" t="n">
        <v>11</v>
      </c>
      <c r="B13" s="2" t="inlineStr">
        <is>
          <t>В команде 7 человек (устав, п. 3.3).</t>
        </is>
      </c>
    </row>
    <row r="14" ht="18" customHeight="1">
      <c r="A14" s="38" t="n">
        <v>12</v>
      </c>
      <c r="B14" s="2" t="inlineStr">
        <is>
          <t>Сеть рассчитана формулами на листах PERT. Выравнивание ресурсов и рисунки выполнены программой на Python.</t>
        </is>
      </c>
    </row>
  </sheetData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100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2026-10-12T17:32:54Z</dcterms:created>
  <dcterms:modified xmlns:dcterms="http://purl.org/dc/terms/" xmlns:xsi="http://www.w3.org/2001/XMLSchema-instance" xsi:type="dcterms:W3CDTF">2026-10-12T17:32:54Z</dcterms:modified>
</cp:coreProperties>
</file>