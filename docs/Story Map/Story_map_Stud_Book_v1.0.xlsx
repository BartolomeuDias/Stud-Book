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 activeTab="3"/>
  </bookViews>
  <sheets>
    <sheet name="Карта" sheetId="1" r:id="rId1"/>
    <sheet name="Истории" sheetId="2" r:id="rId2"/>
    <sheet name="Связь с ИСР" sheetId="3" r:id="rId3"/>
    <sheet name="Пояснения" sheetId="4" r:id="rId4"/>
  </sheets>
  <definedNames>
    <definedName name="_xlnm._FilterDatabase" localSheetId="1" hidden="1">Истории!$A$4:$Q$45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3" i="3"/>
  <c r="E30"/>
  <c r="K29"/>
  <c r="J29"/>
  <c r="I29"/>
  <c r="H29"/>
  <c r="K28"/>
  <c r="J28"/>
  <c r="I28"/>
  <c r="H28"/>
  <c r="K27"/>
  <c r="J27"/>
  <c r="I27"/>
  <c r="H27"/>
  <c r="I26"/>
  <c r="H26"/>
  <c r="K26" s="1"/>
  <c r="I25"/>
  <c r="H25"/>
  <c r="K25" s="1"/>
  <c r="I24"/>
  <c r="H24"/>
  <c r="K24" s="1"/>
  <c r="I23"/>
  <c r="H23"/>
  <c r="K23" s="1"/>
  <c r="I22"/>
  <c r="H22"/>
  <c r="K22" s="1"/>
  <c r="I21"/>
  <c r="H21"/>
  <c r="K21" s="1"/>
  <c r="I20"/>
  <c r="H20"/>
  <c r="K20" s="1"/>
  <c r="I19"/>
  <c r="H19"/>
  <c r="K19" s="1"/>
  <c r="I18"/>
  <c r="H18"/>
  <c r="K18" s="1"/>
  <c r="I17"/>
  <c r="H17"/>
  <c r="K17" s="1"/>
  <c r="I16"/>
  <c r="H16"/>
  <c r="K16" s="1"/>
  <c r="I15"/>
  <c r="H15"/>
  <c r="K15" s="1"/>
  <c r="I14"/>
  <c r="H14"/>
  <c r="K14" s="1"/>
  <c r="I13"/>
  <c r="H13"/>
  <c r="K13" s="1"/>
  <c r="I12"/>
  <c r="H12"/>
  <c r="K12" s="1"/>
  <c r="I11"/>
  <c r="H11"/>
  <c r="K11" s="1"/>
  <c r="K10"/>
  <c r="J10"/>
  <c r="I10"/>
  <c r="H10"/>
  <c r="K9"/>
  <c r="J9"/>
  <c r="I9"/>
  <c r="H9"/>
  <c r="K8"/>
  <c r="J8"/>
  <c r="I8"/>
  <c r="H8"/>
  <c r="K7"/>
  <c r="J7"/>
  <c r="I7"/>
  <c r="H7"/>
  <c r="K6"/>
  <c r="J6"/>
  <c r="I6"/>
  <c r="H6"/>
  <c r="K5"/>
  <c r="J5"/>
  <c r="I5"/>
  <c r="H5"/>
  <c r="H30" s="1"/>
  <c r="P45" i="2"/>
  <c r="O45"/>
  <c r="N45"/>
  <c r="M45"/>
  <c r="I45"/>
  <c r="P44"/>
  <c r="J13" i="3" s="1"/>
  <c r="N44" i="2"/>
  <c r="O44" s="1"/>
  <c r="M44"/>
  <c r="I44"/>
  <c r="P43"/>
  <c r="O43"/>
  <c r="N43"/>
  <c r="M43"/>
  <c r="I43"/>
  <c r="P42"/>
  <c r="J11" i="3" s="1"/>
  <c r="N42" i="2"/>
  <c r="O42" s="1"/>
  <c r="M42"/>
  <c r="I42"/>
  <c r="P41"/>
  <c r="J12" i="3" s="1"/>
  <c r="O41" i="2"/>
  <c r="N41"/>
  <c r="M41"/>
  <c r="I41"/>
  <c r="P40"/>
  <c r="N40"/>
  <c r="O40" s="1"/>
  <c r="M40"/>
  <c r="I40"/>
  <c r="P39"/>
  <c r="O39"/>
  <c r="N39"/>
  <c r="M39"/>
  <c r="I39"/>
  <c r="P38"/>
  <c r="N38"/>
  <c r="O38" s="1"/>
  <c r="M38"/>
  <c r="I38"/>
  <c r="P37"/>
  <c r="O37"/>
  <c r="N37"/>
  <c r="M37"/>
  <c r="I37"/>
  <c r="P36"/>
  <c r="N36"/>
  <c r="O36" s="1"/>
  <c r="M36"/>
  <c r="I36"/>
  <c r="P35"/>
  <c r="O35"/>
  <c r="N35"/>
  <c r="M35"/>
  <c r="I35"/>
  <c r="P34"/>
  <c r="O34"/>
  <c r="N34"/>
  <c r="M34"/>
  <c r="I34"/>
  <c r="P33"/>
  <c r="J25" i="3" s="1"/>
  <c r="O33" i="2"/>
  <c r="N33"/>
  <c r="M33"/>
  <c r="I33"/>
  <c r="P32"/>
  <c r="N32"/>
  <c r="O32" s="1"/>
  <c r="M32"/>
  <c r="I32"/>
  <c r="P31"/>
  <c r="J21" i="3" s="1"/>
  <c r="O31" i="2"/>
  <c r="N31"/>
  <c r="M31"/>
  <c r="I31"/>
  <c r="P30"/>
  <c r="N30"/>
  <c r="O30" s="1"/>
  <c r="M30"/>
  <c r="I30"/>
  <c r="P29"/>
  <c r="O29"/>
  <c r="N29"/>
  <c r="M29"/>
  <c r="I29"/>
  <c r="P28"/>
  <c r="J19" i="3" s="1"/>
  <c r="O28" i="2"/>
  <c r="N28"/>
  <c r="M28"/>
  <c r="I28"/>
  <c r="P27"/>
  <c r="O27"/>
  <c r="N27"/>
  <c r="M27"/>
  <c r="I27"/>
  <c r="P26"/>
  <c r="J20" i="3" s="1"/>
  <c r="N26" i="2"/>
  <c r="O26" s="1"/>
  <c r="M26"/>
  <c r="I26"/>
  <c r="P25"/>
  <c r="N25"/>
  <c r="O25" s="1"/>
  <c r="M25"/>
  <c r="I25"/>
  <c r="P24"/>
  <c r="J18" i="3" s="1"/>
  <c r="N24" i="2"/>
  <c r="O24" s="1"/>
  <c r="M24"/>
  <c r="I24"/>
  <c r="P23"/>
  <c r="J17" i="3" s="1"/>
  <c r="O23" i="2"/>
  <c r="N23"/>
  <c r="M23"/>
  <c r="I23"/>
  <c r="P22"/>
  <c r="N22"/>
  <c r="O22" s="1"/>
  <c r="M22"/>
  <c r="I22"/>
  <c r="P21"/>
  <c r="O21"/>
  <c r="N21"/>
  <c r="M21"/>
  <c r="I21"/>
  <c r="P20"/>
  <c r="J16" i="3" s="1"/>
  <c r="N20" i="2"/>
  <c r="O20" s="1"/>
  <c r="M20"/>
  <c r="I20"/>
  <c r="P19"/>
  <c r="O19"/>
  <c r="N19"/>
  <c r="M19"/>
  <c r="I19"/>
  <c r="P18"/>
  <c r="O18"/>
  <c r="N18"/>
  <c r="M18"/>
  <c r="I18"/>
  <c r="P17"/>
  <c r="J15" i="3" s="1"/>
  <c r="O17" i="2"/>
  <c r="N17"/>
  <c r="M17"/>
  <c r="I17"/>
  <c r="P16"/>
  <c r="N16"/>
  <c r="O16" s="1"/>
  <c r="M16"/>
  <c r="I16"/>
  <c r="P15"/>
  <c r="O15"/>
  <c r="N15"/>
  <c r="M15"/>
  <c r="I15"/>
  <c r="P14"/>
  <c r="J14" i="3" s="1"/>
  <c r="N14" i="2"/>
  <c r="O14" s="1"/>
  <c r="M14"/>
  <c r="I14"/>
  <c r="P13"/>
  <c r="O13"/>
  <c r="N13"/>
  <c r="M13"/>
  <c r="I13"/>
  <c r="P12"/>
  <c r="J24" i="3" s="1"/>
  <c r="O12" i="2"/>
  <c r="N12"/>
  <c r="M12"/>
  <c r="I12"/>
  <c r="P11"/>
  <c r="J26" i="3" s="1"/>
  <c r="O11" i="2"/>
  <c r="N11"/>
  <c r="M11"/>
  <c r="I11"/>
  <c r="P10"/>
  <c r="N10"/>
  <c r="O10" s="1"/>
  <c r="M10"/>
  <c r="I10"/>
  <c r="P9"/>
  <c r="O9"/>
  <c r="N9"/>
  <c r="M9"/>
  <c r="I9"/>
  <c r="P8"/>
  <c r="N8"/>
  <c r="O8" s="1"/>
  <c r="M8"/>
  <c r="I8"/>
  <c r="P7"/>
  <c r="J23" i="3" s="1"/>
  <c r="O7" i="2"/>
  <c r="N7"/>
  <c r="M7"/>
  <c r="I7"/>
  <c r="P6"/>
  <c r="N6"/>
  <c r="O6" s="1"/>
  <c r="M6"/>
  <c r="I6"/>
  <c r="P5"/>
  <c r="J22" i="3" s="1"/>
  <c r="O5" i="2"/>
  <c r="N5"/>
  <c r="M5"/>
  <c r="I5"/>
  <c r="J30" i="3" l="1"/>
  <c r="H32"/>
  <c r="H31"/>
</calcChain>
</file>

<file path=xl/sharedStrings.xml><?xml version="1.0" encoding="utf-8"?>
<sst xmlns="http://schemas.openxmlformats.org/spreadsheetml/2006/main" count="718" uniqueCount="346">
  <si>
    <t>Story map продукта Stud Book</t>
  </si>
  <si>
    <t>Версия 1.0. Роли: клиент; сотрудник ранчо (представления «Владелец» и «Финансы»). На каждой карточке: номер истории, основной пакет ИСР, название. Подробности — на листе «Истории».</t>
  </si>
  <si>
    <t>Обозначения:</t>
  </si>
  <si>
    <t>Must</t>
  </si>
  <si>
    <t>Should</t>
  </si>
  <si>
    <t>Could</t>
  </si>
  <si>
    <t>Пунктир: пакет исключён в варианте Б базового плана</t>
  </si>
  <si>
    <t>Клиент (владелец кобылы, в том числе удалённый)</t>
  </si>
  <si>
    <t>Этапы пути пользователя</t>
  </si>
  <si>
    <t>Подать заявку</t>
  </si>
  <si>
    <t>Заказать семя</t>
  </si>
  <si>
    <t>Следить за заявкой</t>
  </si>
  <si>
    <t>Получить и оплатить счёт</t>
  </si>
  <si>
    <t>Хорошо бы сделать (Should)</t>
  </si>
  <si>
    <t>CL-01   ИСР 5.1
Подать заявку на случку</t>
  </si>
  <si>
    <t>CL-03   ИСР 5.2
Заказать семя с доставкой
вариант Б: исключён</t>
  </si>
  <si>
    <t>CL-05   ИСР 5.1
Видеть статус заявки</t>
  </si>
  <si>
    <t>CL-08   ИСР 5.3
Видеть счета и статус оплаты
вариант Б: исключён</t>
  </si>
  <si>
    <t>CL-02   ИСР 5.1
Указать кобылу, жеребца и период</t>
  </si>
  <si>
    <t>CL-04   ИСР 5.2
Адрес и статус доставки семени
вариант Б: исключён</t>
  </si>
  <si>
    <t>CL-06   ИСР 5.1
Видеть историю заявок</t>
  </si>
  <si>
    <t>CL-09   ИСР 5.3
Оплатить счёт (заглушка)
вариант Б: исключён</t>
  </si>
  <si>
    <t>Можно будет сделать (Could)</t>
  </si>
  <si>
    <t>CL-07   ИСР 6.1
Уведомление о статусе (заглушка)</t>
  </si>
  <si>
    <t>Сотрудник ранчо, представление «Владелец» (Дасти)</t>
  </si>
  <si>
    <t>Вести реестр лошадей</t>
  </si>
  <si>
    <t>Учитывать размещение и перемещения</t>
  </si>
  <si>
    <t>Вносить записи о лошадях</t>
  </si>
  <si>
    <t>Получать справки</t>
  </si>
  <si>
    <t>Проверять пары</t>
  </si>
  <si>
    <t>Принимать заявки и вести очередь</t>
  </si>
  <si>
    <t>Следить за загрузкой и запасами</t>
  </si>
  <si>
    <t>Сделать обязательно (Must)</t>
  </si>
  <si>
    <t>OW-01   ИСР 3.1
Реестр лошадей трёх категорий</t>
  </si>
  <si>
    <t>OW-04   ИСР 3.2
Зафиксировать прибытие лошади</t>
  </si>
  <si>
    <t>OW-07   ИСР 3.3
Запись о готовности кобылы</t>
  </si>
  <si>
    <t>OW-10   ИСР 3.4
Справка «История жеребца»</t>
  </si>
  <si>
    <t>OW-13   ИСР 4.2
Проверить пару лошадей</t>
  </si>
  <si>
    <t>OW-02   ИСР 3.1
Карточка лошади с родословной</t>
  </si>
  <si>
    <t>OW-05   ИСР 3.2
Зафиксировать отъезд лошади</t>
  </si>
  <si>
    <t>OW-08   ИСР 3.3
Запись о травме или происшествии</t>
  </si>
  <si>
    <t>OW-11   ИСР 3.5
Справка «Перемещения и контакты»</t>
  </si>
  <si>
    <t>OW-14   ИСР 4.2
Причина запрета пары</t>
  </si>
  <si>
    <t>OW-03   ИСР 3.1
Добавить лошадь в реестр</t>
  </si>
  <si>
    <t>OW-06   ИСР 3.2
Где стоит лошадь и где была</t>
  </si>
  <si>
    <t>OW-09   ИСР 3.3
Запись о состоянии лошади</t>
  </si>
  <si>
    <t>OW-15   ИСР 4.1
Таблица правил совместимости</t>
  </si>
  <si>
    <t>OW-12   ИСР 6.1
Выгрузить справку файлом (заглушка)</t>
  </si>
  <si>
    <t>OW-16   ИСР 5.1
Входящие заявки клиентов</t>
  </si>
  <si>
    <t>OW-17   ИСР 5.1
Принять или отклонить заявку</t>
  </si>
  <si>
    <t>OW-18   ИСР 4.3
Очередь на каждого жеребца
вариант Б: исключён</t>
  </si>
  <si>
    <t>OW-19   ИСР 4.3
Календарь занятости жеребцов
вариант Б: исключён</t>
  </si>
  <si>
    <t>OW-20   ИСР 5.4
Отчёт о загрузке жеребцов
вариант Б: исключён</t>
  </si>
  <si>
    <t>OW-21   ИСР 5.4
Напоминание «проверь запас»
вариант Б: исключён</t>
  </si>
  <si>
    <t>Сотрудник ранчо, представление «Финансы» (Тэмми)</t>
  </si>
  <si>
    <t>Выставить счёт</t>
  </si>
  <si>
    <t>Контролировать оплату</t>
  </si>
  <si>
    <t>Анализировать финансы</t>
  </si>
  <si>
    <t>FN-01   ИСР 5.3
Счёт по факту случки
вариант Б: исключён</t>
  </si>
  <si>
    <t>FN-03   ИСР 5.3
Статусы счетов
вариант Б: исключён</t>
  </si>
  <si>
    <t>FN-02   ИСР 5.3
Счёт за период
вариант Б: исключён</t>
  </si>
  <si>
    <t>FN-04   ИСР 5.3
Принять платёж (заглушка)
вариант Б: исключён</t>
  </si>
  <si>
    <t>FN-05   ИСР 5.3
Случки без выставленного счёта
вариант Б: исключён</t>
  </si>
  <si>
    <t>FN-06   ИСР 5.4
Финансовая сводка
вариант Б: исключён</t>
  </si>
  <si>
    <t>Сквозные и обеспечивающие истории (для всех ролей)</t>
  </si>
  <si>
    <t>Доступ и роли</t>
  </si>
  <si>
    <t>Внешний вид и язык</t>
  </si>
  <si>
    <t>Данные для показа</t>
  </si>
  <si>
    <t>Внешние сервисы</t>
  </si>
  <si>
    <t>SH-01   ИСР 2.4
Вход и выбор роли</t>
  </si>
  <si>
    <t>SH-02   ИСР 2.3
Стиль «племенной книги»</t>
  </si>
  <si>
    <t>SH-04   ИСР 2.5
Демонстрационные данные</t>
  </si>
  <si>
    <t>SH-05   ИСР 6.1
Заглушки пяти внешних сервисов</t>
  </si>
  <si>
    <t>SH-03   ИСР 2.3
Английский язык и адаптивная раскладка</t>
  </si>
  <si>
    <t>Пользовательские истории Stud Book и их связь с пакетами ИСР</t>
  </si>
  <si>
    <t>Приоритет — MoSCoW по уставу и сводной таблице оценок. Столбцы I, M, N, O, P заполняются формулами по листу «Связь с ИСР». Вес истории в пакете пока равен 1/N (N — число историй с этим основным пакетом); после покера планирования заменить долей по story points.</t>
  </si>
  <si>
    <t>ID</t>
  </si>
  <si>
    <t>Роль</t>
  </si>
  <si>
    <t>Представление</t>
  </si>
  <si>
    <t>Этап пути (колонка карты)</t>
  </si>
  <si>
    <t>История</t>
  </si>
  <si>
    <t>Приоритет MoSCoW</t>
  </si>
  <si>
    <t>Основной пакет ИСР</t>
  </si>
  <si>
    <t>Дополнительные пакеты ИСР</t>
  </si>
  <si>
    <t>Название основного пакета</t>
  </si>
  <si>
    <t>Требование или допущение (устав)</t>
  </si>
  <si>
    <t>Стороны (реестр)</t>
  </si>
  <si>
    <t>Критерий приёмки (п. 2.4)</t>
  </si>
  <si>
    <t>Веха по уставу</t>
  </si>
  <si>
    <t>Веха по базовому плану</t>
  </si>
  <si>
    <t>Статус в базовом плане</t>
  </si>
  <si>
    <t>Вес в пакете</t>
  </si>
  <si>
    <t>Примечание</t>
  </si>
  <si>
    <t>CL-01</t>
  </si>
  <si>
    <t>Клиент</t>
  </si>
  <si>
    <t>—</t>
  </si>
  <si>
    <t>Как клиент, я хочу подать заявку на случку кобылы через систему, чтобы не звонить на ранчо.</t>
  </si>
  <si>
    <t>5.1</t>
  </si>
  <si>
    <t>Т-09</t>
  </si>
  <si>
    <t>С-03, С-10</t>
  </si>
  <si>
    <t>8</t>
  </si>
  <si>
    <t>CL-02</t>
  </si>
  <si>
    <t>Как клиент, я хочу указать в заявке кобылу, жеребца и желаемый период, чтобы ранчо могло сразу проверить пару и назначить дату.</t>
  </si>
  <si>
    <t>3.1</t>
  </si>
  <si>
    <t>Вывод команды, подтвердить с заказчиком</t>
  </si>
  <si>
    <t>CL-03</t>
  </si>
  <si>
    <t>Как удалённый клиент, я хочу заказать семя жеребца с доставкой, чтобы не везти кобылу в Техас.</t>
  </si>
  <si>
    <t>5.2</t>
  </si>
  <si>
    <t>4.3</t>
  </si>
  <si>
    <t>Т-09; А-13</t>
  </si>
  <si>
    <t>CL-04</t>
  </si>
  <si>
    <t>Как удалённый клиент, я хочу указать адрес доставки и видеть её статус, чтобы знать, когда ждать семя.</t>
  </si>
  <si>
    <t>Т-09; А-4</t>
  </si>
  <si>
    <t>CL-05</t>
  </si>
  <si>
    <t>Как клиент, я хочу видеть статус своей заявки, чтобы не уточнять его по телефону.</t>
  </si>
  <si>
    <t>CL-06</t>
  </si>
  <si>
    <t>Как клиент, я хочу видеть историю своих заявок, чтобы знать, что и когда я заказывал.</t>
  </si>
  <si>
    <t>CL-07</t>
  </si>
  <si>
    <t>Как клиент, я хочу получать уведомление об изменении статуса заявки, чтобы не заходить в систему без необходимости.</t>
  </si>
  <si>
    <t>6.1</t>
  </si>
  <si>
    <t>А-2</t>
  </si>
  <si>
    <t>С-03</t>
  </si>
  <si>
    <t>13</t>
  </si>
  <si>
    <t>Срок следует за пакетом 5.1</t>
  </si>
  <si>
    <t>CL-08</t>
  </si>
  <si>
    <t>Как клиент, я хочу видеть выставленные мне счета и статус оплаты, чтобы понимать, за что и сколько я должен.</t>
  </si>
  <si>
    <t>5.3</t>
  </si>
  <si>
    <t>Т-10</t>
  </si>
  <si>
    <t>С-02, С-03</t>
  </si>
  <si>
    <t>10</t>
  </si>
  <si>
    <t>CL-09</t>
  </si>
  <si>
    <t>Как клиент, я хочу оплатить счёт в системе, чтобы не отправлять деньги отдельно.</t>
  </si>
  <si>
    <t>Т-10; А-1</t>
  </si>
  <si>
    <t>OW-01</t>
  </si>
  <si>
    <t>Сотрудник ранчо</t>
  </si>
  <si>
    <t>Владелец (Дасти)</t>
  </si>
  <si>
    <t>Как сотрудник ранчо, я хочу видеть реестр лошадей трёх категорий (свои жеребцы, жеребцы на управлении, кобылы клиентов), чтобы знать, кто есть на ранчо.</t>
  </si>
  <si>
    <t>Т-01</t>
  </si>
  <si>
    <t>С-06, С-12</t>
  </si>
  <si>
    <t>1</t>
  </si>
  <si>
    <t>OW-02</t>
  </si>
  <si>
    <t>Как сотрудник ранчо, я хочу открыть карточку лошади с родословной минимум на два поколения, чтобы проверять происхождение без бумажного журнала.</t>
  </si>
  <si>
    <t>OW-03</t>
  </si>
  <si>
    <t>Как сотрудник ранчо, я хочу добавить лошадь в реестр и указать её происхождение, чтобы реестр оставался актуальным.</t>
  </si>
  <si>
    <t>OW-04</t>
  </si>
  <si>
    <t>Как сотрудник ранчо, я хочу зафиксировать прибытие лошади (дата, место, откуда прибыла), чтобы всегда знать, откуда она появилась.</t>
  </si>
  <si>
    <t>3.2</t>
  </si>
  <si>
    <t>Т-02; А-8</t>
  </si>
  <si>
    <t>С-08</t>
  </si>
  <si>
    <t>2</t>
  </si>
  <si>
    <t>OW-05</t>
  </si>
  <si>
    <t>Как сотрудник ранчо, я хочу зафиксировать отъезд лошади, чтобы реестр показывал только тех, кто сейчас на ранчо.</t>
  </si>
  <si>
    <t>OW-06</t>
  </si>
  <si>
    <t>Как сотрудник ранчо, я хочу видеть, где сейчас стоит лошадь и где она была раньше, чтобы быстро отвечать на вопросы клиентов и регуляторов.</t>
  </si>
  <si>
    <t>OW-07</t>
  </si>
  <si>
    <t>Как сотрудник ранчо, я хочу внести запись о готовности кобылы простой формой (не более семи полей и трёх шагов), чтобы сведения ветеринара не терялись.</t>
  </si>
  <si>
    <t>3.3</t>
  </si>
  <si>
    <t>Т-06; Т-15; А-10</t>
  </si>
  <si>
    <t>С-01, С-04, С-07</t>
  </si>
  <si>
    <t>6</t>
  </si>
  <si>
    <t>OW-08</t>
  </si>
  <si>
    <t>Как сотрудник ранчо, я хочу внести запись о травме или происшествии, чтобы она попадала в историю лошади.</t>
  </si>
  <si>
    <t>Т-06; А-10</t>
  </si>
  <si>
    <t>OW-09</t>
  </si>
  <si>
    <t>Как сотрудник ранчо, я хочу внести запись о состоянии лошади, чтобы история была полной.</t>
  </si>
  <si>
    <t>Т-06; Т-15</t>
  </si>
  <si>
    <t>OW-10</t>
  </si>
  <si>
    <t>Как сотрудник ранчо, я хочу собрать историю жеребца (число случек за сезон, происшествия, записи о состоянии) не более чем за три перехода, чтобы показать её страховщику.</t>
  </si>
  <si>
    <t>3.4</t>
  </si>
  <si>
    <t>Т-03</t>
  </si>
  <si>
    <t>С-09</t>
  </si>
  <si>
    <t>3</t>
  </si>
  <si>
    <t>OW-11</t>
  </si>
  <si>
    <t>Как сотрудник ранчо, я хочу получить справку о перемещениях и контактах лошадей за период, чтобы при вспышке болезни за пять минут показать, какие лошади были на ранчо, откуда прибыли и с кем контактировали.</t>
  </si>
  <si>
    <t>3.5</t>
  </si>
  <si>
    <t>3.2; 3.3</t>
  </si>
  <si>
    <t>Т-04; А-7</t>
  </si>
  <si>
    <t>4</t>
  </si>
  <si>
    <t>OW-12</t>
  </si>
  <si>
    <t>Как сотрудник ранчо, я хочу выгрузить справку в файл, чтобы передать её страховщику или регулятору.</t>
  </si>
  <si>
    <t>3.4; 3.5</t>
  </si>
  <si>
    <t>Т-05; А-5</t>
  </si>
  <si>
    <t>С-08, С-09</t>
  </si>
  <si>
    <t>5</t>
  </si>
  <si>
    <t>Срок следует за пакетами 3.4 и 3.5</t>
  </si>
  <si>
    <t>OW-13</t>
  </si>
  <si>
    <t>Как сотрудник ранчо, я хочу проверить пару лошадей на допустимость, чтобы не случить тех, кого нельзя.</t>
  </si>
  <si>
    <t>4.2</t>
  </si>
  <si>
    <t>3.1; 4.1</t>
  </si>
  <si>
    <t>Т-07</t>
  </si>
  <si>
    <t>С-01, С-07</t>
  </si>
  <si>
    <t>7</t>
  </si>
  <si>
    <t>OW-14</t>
  </si>
  <si>
    <t>Как сотрудник ранчо, я хочу видеть причину запрета (родство, занятость жеребца, неготовность кобылы), чтобы понимать, почему пара недопустима.</t>
  </si>
  <si>
    <t>4.1</t>
  </si>
  <si>
    <t>OW-15</t>
  </si>
  <si>
    <t>Как сотрудник ранчо, я хочу, чтобы правила допустимости пар хранились единой таблицей, согласованной с ветеринаром, чтобы все проверки шли по одним правилам.</t>
  </si>
  <si>
    <t>Т-07; А-9</t>
  </si>
  <si>
    <t>Условие для 4.2; таблицу даёт заказчик (А-9)</t>
  </si>
  <si>
    <t>OW-16</t>
  </si>
  <si>
    <t>Как сотрудник ранчо, я хочу видеть входящие заявки клиентов и их статусы, чтобы ни одна заявка не потерялась.</t>
  </si>
  <si>
    <t>OW-17</t>
  </si>
  <si>
    <t>Как сотрудник ранчо, я хочу принять или отклонить заявку после проверки пары, чтобы клиент получил ответ с причиной.</t>
  </si>
  <si>
    <t>Т-09; Т-07</t>
  </si>
  <si>
    <t>С-01, С-03, С-07, С-10</t>
  </si>
  <si>
    <t>11</t>
  </si>
  <si>
    <t>OW-18</t>
  </si>
  <si>
    <t>Как сотрудник ранчо, я хочу видеть очередь на каждого жеребца (случка и заказ семени), чтобы знать, кто следующий.</t>
  </si>
  <si>
    <t>Т-08; А-13</t>
  </si>
  <si>
    <t>С-01</t>
  </si>
  <si>
    <t>9</t>
  </si>
  <si>
    <t>OW-19</t>
  </si>
  <si>
    <t>Как сотрудник ранчо, я хочу видеть календарь занятости жеребцов, чтобы не назначать двух кобыл на одно время.</t>
  </si>
  <si>
    <t>Т-08</t>
  </si>
  <si>
    <t>OW-20</t>
  </si>
  <si>
    <t>Как сотрудник ранчо, я хочу видеть отчёт о загрузке жеребцов, чтобы решать, сколько кобыл принимать.</t>
  </si>
  <si>
    <t>5.4</t>
  </si>
  <si>
    <t>Т-11</t>
  </si>
  <si>
    <t>С-01, С-02</t>
  </si>
  <si>
    <t>16</t>
  </si>
  <si>
    <t>OW-21</t>
  </si>
  <si>
    <t>Как сотрудник ранчо, я хочу получать напоминание «проверь запас» (азот, ёмкости, корм, подстилка), чтобы доставка семени не останавливалась из-за перебоев.</t>
  </si>
  <si>
    <t>Т-12</t>
  </si>
  <si>
    <t>С-11</t>
  </si>
  <si>
    <t>FN-01</t>
  </si>
  <si>
    <t>Финансы (Тэмми)</t>
  </si>
  <si>
    <t>Как сотрудник ранчо (финансы), я хочу выставить клиенту счёт по факту случки одним действием, чтобы ни одна случка не осталась без счёта.</t>
  </si>
  <si>
    <t>С-02</t>
  </si>
  <si>
    <t>FN-02</t>
  </si>
  <si>
    <t>Как сотрудник ранчо (финансы), я хочу выставить клиенту счёт за период одним действием, чтобы выставлять конюшням общий счёт.</t>
  </si>
  <si>
    <t>FN-03</t>
  </si>
  <si>
    <t>Как сотрудник ранчо (финансы), я хочу видеть статусы счетов, чтобы понимать, кто ещё не заплатил.</t>
  </si>
  <si>
    <t>FN-04</t>
  </si>
  <si>
    <t>Как сотрудник ранчо (финансы), я хочу отметить поступление платежа по счёту, чтобы статус счёта был актуальным.</t>
  </si>
  <si>
    <t>FN-05</t>
  </si>
  <si>
    <t>Как сотрудник ранчо (финансы), я хочу видеть случки и заказы семени, по которым счёт ещё не выставлен, чтобы не терять деньги.</t>
  </si>
  <si>
    <t>FN-06</t>
  </si>
  <si>
    <t>Как сотрудник ранчо (финансы), я хочу видеть финансовую сводку, чтобы понимать общую картину по выручке и долгам.</t>
  </si>
  <si>
    <t>SH-01</t>
  </si>
  <si>
    <t>Все роли</t>
  </si>
  <si>
    <t>Как пользователь системы, я хочу войти и выбрать роль (клиент или сотрудник ранчо), чтобы видеть только нужные мне экраны.</t>
  </si>
  <si>
    <t>2.4</t>
  </si>
  <si>
    <t>2.2</t>
  </si>
  <si>
    <t>А-11</t>
  </si>
  <si>
    <t>Отдельного пакета ИСР для входа нет: отнесён к 2.4 и 2.2</t>
  </si>
  <si>
    <t>SH-02</t>
  </si>
  <si>
    <t>Как заказчик, я хочу, чтобы интерфейс был оформлен в духе «племенной книги» и не напоминал приложение для знакомств, чтобы продукт подходил ранчо.</t>
  </si>
  <si>
    <t>2.3</t>
  </si>
  <si>
    <t>Т-13</t>
  </si>
  <si>
    <t>12</t>
  </si>
  <si>
    <t>SH-03</t>
  </si>
  <si>
    <t>Как клиент или сотрудник ранчо, я хочу пользоваться системой на английском языке с телефона, планшета и компьютера, чтобы работать в ней откуда угодно.</t>
  </si>
  <si>
    <t>Т-14; А-12</t>
  </si>
  <si>
    <t>С-01, С-03</t>
  </si>
  <si>
    <t>Допущение А-12 ещё не подтверждено заказчиком</t>
  </si>
  <si>
    <t>SH-04</t>
  </si>
  <si>
    <t>Как заказчик, я хочу видеть систему с демонстрационными данными (15 лошадей, 6 клиентов, 25 записей размещения и другие), чтобы оценить её работу на показе.</t>
  </si>
  <si>
    <t>2.5</t>
  </si>
  <si>
    <t>п. 2.1 устава</t>
  </si>
  <si>
    <t>14</t>
  </si>
  <si>
    <t>SH-05</t>
  </si>
  <si>
    <t>Как заказчик, я хочу, чтобы платежи, рассылки, обмен с породной ассоциацией, доставка семени и выгрузка справок были показаны заглушками, чтобы проверить сценарии без реальных интеграций.</t>
  </si>
  <si>
    <t>А-1…А-5</t>
  </si>
  <si>
    <t>Покрытие пакетов ИСР пользовательскими историями</t>
  </si>
  <si>
    <t>Пакеты, названия, приоритеты и ожидаемая трудоёмкость E взяты из сводной таблицы оценок (E = (O + 4M + P) / 6), вехи — из устава (п. 3.1) и расписания v1.0. Столбцы H, I, J, K считаются формулами по листу «Истории».</t>
  </si>
  <si>
    <t>№</t>
  </si>
  <si>
    <t>Пакет работ</t>
  </si>
  <si>
    <t>Тип</t>
  </si>
  <si>
    <t>Приоритет</t>
  </si>
  <si>
    <t>E ожидаемая, ч</t>
  </si>
  <si>
    <t>Историй (основной пакет)</t>
  </si>
  <si>
    <t>Историй (дополнительно)</t>
  </si>
  <si>
    <t>Сумма весов историй</t>
  </si>
  <si>
    <t>Как пакет попадает в бэклог</t>
  </si>
  <si>
    <t>1.1</t>
  </si>
  <si>
    <t>Инициация проекта</t>
  </si>
  <si>
    <t>непродуктовый</t>
  </si>
  <si>
    <t>Фаза 2</t>
  </si>
  <si>
    <t>1.2</t>
  </si>
  <si>
    <t>Планирование проекта</t>
  </si>
  <si>
    <t>Фазы 3–4</t>
  </si>
  <si>
    <t>Фаза 4</t>
  </si>
  <si>
    <t>1.3</t>
  </si>
  <si>
    <t>Мониторинг и контроль</t>
  </si>
  <si>
    <t>весь проект</t>
  </si>
  <si>
    <t>1.4</t>
  </si>
  <si>
    <t>Закрытие проекта</t>
  </si>
  <si>
    <t>26–31.12</t>
  </si>
  <si>
    <t>после В4</t>
  </si>
  <si>
    <t>2.1</t>
  </si>
  <si>
    <t>Сбор и анализ требований</t>
  </si>
  <si>
    <t>Фазы 2–4, далее по итерациям</t>
  </si>
  <si>
    <t>по итерациям</t>
  </si>
  <si>
    <t>Проектирование архитектуры и базы данных</t>
  </si>
  <si>
    <t>Проектирование пользовательского интерфейса</t>
  </si>
  <si>
    <t>продуктовый</t>
  </si>
  <si>
    <t>В1</t>
  </si>
  <si>
    <t>Подготовка среды и инструментов</t>
  </si>
  <si>
    <t>Подготовка демонстрационных данных</t>
  </si>
  <si>
    <t>Реестр лошадей и карточка лошади</t>
  </si>
  <si>
    <t>Размещение и перемещения</t>
  </si>
  <si>
    <t>В2</t>
  </si>
  <si>
    <t>Ввод записей о состоянии и происшествиях</t>
  </si>
  <si>
    <t>Справка «История жеребца»</t>
  </si>
  <si>
    <t>В3</t>
  </si>
  <si>
    <t>Справка «Перемещения и контакты»</t>
  </si>
  <si>
    <t>Формализация правил совместимости</t>
  </si>
  <si>
    <t>Проверка совместимости пар</t>
  </si>
  <si>
    <t>В4</t>
  </si>
  <si>
    <t>Очередь и календарь жеребцов</t>
  </si>
  <si>
    <t>исключён</t>
  </si>
  <si>
    <t>Кабинет клиента и заявки</t>
  </si>
  <si>
    <t>Заказ семени с доставкой</t>
  </si>
  <si>
    <t>Счета и платежи</t>
  </si>
  <si>
    <t>Отчёты и напоминания (Could)</t>
  </si>
  <si>
    <t>Интеграция внешних сервисов (заглушки)</t>
  </si>
  <si>
    <t>Must/Should</t>
  </si>
  <si>
    <t>В2–В4</t>
  </si>
  <si>
    <t>6.2</t>
  </si>
  <si>
    <t>Тестирование и исправление дефектов</t>
  </si>
  <si>
    <t>В1–В4</t>
  </si>
  <si>
    <t>6.3</t>
  </si>
  <si>
    <t>Демонстрации и приёмка</t>
  </si>
  <si>
    <t>6.4</t>
  </si>
  <si>
    <t>Документация и приёмочные материалы</t>
  </si>
  <si>
    <t>Итого</t>
  </si>
  <si>
    <t>Пакетов с историями</t>
  </si>
  <si>
    <t>Пакетов без историй (непродуктовые)</t>
  </si>
  <si>
    <t>Проверка: историй всего на листе «Истории»</t>
  </si>
  <si>
    <t>Розовым выделены пакеты, исключённые в варианте Б (запрос на изменение № 1).</t>
  </si>
  <si>
    <t>Story map продукта Stud Book: пояснения</t>
  </si>
  <si>
    <t>1. Как построена карта</t>
  </si>
  <si>
    <t>2. Роли</t>
  </si>
  <si>
    <t>По уставу (допущение А-11) в системе две роли: клиент и сотрудник ранчо. У сотрудника два представления: «Владелец» (Дасти: реестр, записи, справки, проверка пар, очередь) и «Финансы» (Тэмми: счета, финансовая сводка). Для наглядности у каждого представления своя полоса. Ветеринар в число пользователей не входит (А-10). Отдельная полоса «Сквозные и обеспечивающие истории» собирает то, что нужно всем ролям: вход, стиль, язык, демоданные, заглушки.</t>
  </si>
  <si>
    <t>3. Связь с ИСР и подсчёт освоенного объёма</t>
  </si>
  <si>
    <t>У каждой истории один основной пакет ИСР (по нему считается освоенный объём) и, при необходимости, дополнительные пакеты, от которых история зависит. Вес истории в пакете сейчас равен 1/N; после покера планирования его нужно заменить долей по story points. Освоенный объём пакета тогда равен сумме весов принятых историй.</t>
  </si>
  <si>
    <t>Из 25 пакетов ИСР 16 покрыты историями. Девять пакетов (1.1–1.4, 2.1, 2.2, 6.2–6.4) не создают функций для пользователя: по заданию фазы 4 они войдут в бэклог продукта отдельными задачами, а не историями.</t>
  </si>
  <si>
    <t>4. Что нужно решить команде</t>
  </si>
  <si>
    <t>а) Вариант Б. В базовом плане (PERT и расписание v1.0) исключены пакеты 4.3, 5.2, 5.3 и 5.4 (запрос на изменение № 1, требует согласования с заказчиком). Их истории оставлены на карте и помечены пунктиром: 14 историй, в том числе вся полоса «Финансы» и счета клиента. Если заказчик утвердит исключение, эти истории не попадают в бэклог первой версии, а критерии приёмки 9 и 10 снимаются. Если не утвердит, расписание придётся пересчитывать.</t>
  </si>
  <si>
    <t>б) Вехи. В базовом плане справки (3.4, 3.5) показываются на В3, а не на В2, проверка совместимости (4.2) и кабинет клиента (5.1) на В4, а не на В3, размещение (3.2) на В2, а не на В1. Оба варианта вех указаны в таблице; для планирования итераций нужно выбрать один.</t>
  </si>
  <si>
    <t>в) Вход и выбор роли. Для него в ИСР нет отдельного пакета. История SH-01 отнесена к пакетам 2.4 (каркас приложения) и 2.2 (роли в архитектуре). Если нужен отдельный пакет, его придётся добавить в ИСР.</t>
  </si>
  <si>
    <t>г) Истории, выведенные командой. Пять историй (CL-02, OW-03, OW-16, OW-17, FN-05) прямо в уставе не названы: они следуют из сквозного сценария и брифа заказчика. Их нужно подтвердить с заказчиком; в таблице они отмечены в столбце «Примечание».</t>
  </si>
  <si>
    <t>5. Откуда взяты данные</t>
  </si>
  <si>
    <t>Требования Т-01…Т-15, допущения А-1…А-17, критерии приёмки и вехи: устав проекта v1.0. Пакеты ИСР и их описание: ИСР Stud Book. Приоритеты и оценки E: сводная таблица оценок. Вехи по базовому плану: расписание v1.0 и PERT. Стороны: реестр заинтересованных сторон v1.0 (соответствие Т и С взято из таблицы п. 2.2 устава).</t>
  </si>
  <si>
    <t>Карта построена следующим образом: рассказали путь пользователя по шагам; сгруппировали действия по этапам (колонки карты); заполнили пробелы; расставили истории внутри этапа по приоритету (сверху вниз); разделили карту на слои по приоритету MoSCoW (Must, Should, Could), как на примере из лекции.</t>
  </si>
  <si>
    <t>Дополнительные требования к заданию: карта строится по всем ролям, а каждая история связана с пакетом ИСР по идентификатору. Поэтому для каждой роли собственная полоса со своими этапами пути, а в таблице есть столбцы «Основной пакет ИСР» и «Дополнительные пакеты ИСР».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</si>
</sst>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"/>
    </font>
    <font>
      <b/>
      <sz val="16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C62828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000000"/>
      <name val="Arial"/>
      <charset val="1"/>
    </font>
    <font>
      <sz val="9"/>
      <color rgb="FF0000FF"/>
      <name val="Arial"/>
      <charset val="1"/>
    </font>
    <font>
      <i/>
      <sz val="9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FFE680"/>
        <bgColor rgb="FFFFCC99"/>
      </patternFill>
    </fill>
    <fill>
      <patternFill patternType="solid">
        <fgColor rgb="FFBFE3C0"/>
        <bgColor rgb="FFE0E0E0"/>
      </patternFill>
    </fill>
    <fill>
      <patternFill patternType="solid">
        <fgColor rgb="FFE0E0E0"/>
        <bgColor rgb="FFFDE7E7"/>
      </patternFill>
    </fill>
    <fill>
      <patternFill patternType="solid">
        <fgColor rgb="FF1F5FA8"/>
        <bgColor rgb="FF3366FF"/>
      </patternFill>
    </fill>
    <fill>
      <patternFill patternType="solid">
        <fgColor rgb="FF424242"/>
        <bgColor rgb="FF5D4037"/>
      </patternFill>
    </fill>
    <fill>
      <patternFill patternType="solid">
        <fgColor rgb="FF263238"/>
        <bgColor rgb="FF424242"/>
      </patternFill>
    </fill>
    <fill>
      <patternFill patternType="solid">
        <fgColor rgb="FF2E7D32"/>
        <bgColor rgb="FF008000"/>
      </patternFill>
    </fill>
    <fill>
      <patternFill patternType="solid">
        <fgColor rgb="FFB85C00"/>
        <bgColor rgb="FF808000"/>
      </patternFill>
    </fill>
    <fill>
      <patternFill patternType="solid">
        <fgColor rgb="FF5D4037"/>
        <bgColor rgb="FF424242"/>
      </patternFill>
    </fill>
    <fill>
      <patternFill patternType="solid">
        <fgColor rgb="FFFDE7E7"/>
        <bgColor rgb="FFE0E0E0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dashed">
        <color rgb="FFC62828"/>
      </left>
      <right style="dashed">
        <color rgb="FFC62828"/>
      </right>
      <top style="dashed">
        <color rgb="FFC62828"/>
      </top>
      <bottom style="dashed">
        <color rgb="FFC6282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10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8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2" fontId="9" fillId="0" borderId="1" xfId="0" applyNumberFormat="1" applyFont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2" fontId="9" fillId="11" borderId="1" xfId="0" applyNumberFormat="1" applyFont="1" applyFill="1" applyBorder="1" applyAlignment="1">
      <alignment vertical="top" wrapText="1"/>
    </xf>
    <xf numFmtId="2" fontId="2" fillId="11" borderId="1" xfId="0" applyNumberFormat="1" applyFont="1" applyFill="1" applyBorder="1" applyAlignment="1">
      <alignment vertical="top" wrapText="1"/>
    </xf>
    <xf numFmtId="2" fontId="3" fillId="0" borderId="0" xfId="0" applyNumberFormat="1" applyFont="1"/>
    <xf numFmtId="0" fontId="2" fillId="0" borderId="0" xfId="0" applyFont="1"/>
    <xf numFmtId="0" fontId="10" fillId="0" borderId="0" xfId="0" applyFont="1"/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5D4037"/>
      <rgbColor rgb="FFFDE7E7"/>
      <rgbColor rgb="FFCCFFFF"/>
      <rgbColor rgb="FF660066"/>
      <rgbColor rgb="FFFF8080"/>
      <rgbColor rgb="FF1F5FA8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C0"/>
      <rgbColor rgb="FFFFE68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85C00"/>
      <rgbColor rgb="FF666699"/>
      <rgbColor rgb="FF9E9E9E"/>
      <rgbColor rgb="FF003366"/>
      <rgbColor rgb="FF2E7D32"/>
      <rgbColor rgb="FF003300"/>
      <rgbColor rgb="FF424242"/>
      <rgbColor rgb="FFC62828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/>
  <cols>
    <col min="1" max="1" width="20" customWidth="1"/>
    <col min="2" max="9" width="28" customWidth="1"/>
  </cols>
  <sheetData>
    <row r="1" spans="1:9" ht="21">
      <c r="A1" s="10" t="s">
        <v>0</v>
      </c>
    </row>
    <row r="2" spans="1:9" ht="25.5" customHeight="1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 ht="30" customHeight="1">
      <c r="A3" s="11" t="s">
        <v>2</v>
      </c>
      <c r="B3" s="12" t="s">
        <v>3</v>
      </c>
      <c r="C3" s="13" t="s">
        <v>4</v>
      </c>
      <c r="D3" s="14" t="s">
        <v>5</v>
      </c>
      <c r="E3" s="8" t="s">
        <v>6</v>
      </c>
      <c r="F3" s="8"/>
    </row>
    <row r="5" spans="1:9" ht="24" customHeight="1">
      <c r="A5" s="7" t="s">
        <v>7</v>
      </c>
      <c r="B5" s="7"/>
      <c r="C5" s="7"/>
      <c r="D5" s="7"/>
      <c r="E5" s="7"/>
    </row>
    <row r="6" spans="1:9" ht="36" customHeight="1">
      <c r="A6" s="15" t="s">
        <v>8</v>
      </c>
      <c r="B6" s="16" t="s">
        <v>9</v>
      </c>
      <c r="C6" s="16" t="s">
        <v>10</v>
      </c>
      <c r="D6" s="16" t="s">
        <v>11</v>
      </c>
      <c r="E6" s="16" t="s">
        <v>12</v>
      </c>
    </row>
    <row r="7" spans="1:9" ht="54" customHeight="1">
      <c r="A7" s="6" t="s">
        <v>13</v>
      </c>
      <c r="B7" s="18" t="s">
        <v>14</v>
      </c>
      <c r="C7" s="19" t="s">
        <v>15</v>
      </c>
      <c r="D7" s="18" t="s">
        <v>16</v>
      </c>
      <c r="E7" s="19" t="s">
        <v>17</v>
      </c>
    </row>
    <row r="8" spans="1:9" ht="54" customHeight="1">
      <c r="A8" s="6"/>
      <c r="B8" s="18" t="s">
        <v>18</v>
      </c>
      <c r="C8" s="19" t="s">
        <v>19</v>
      </c>
      <c r="D8" s="18" t="s">
        <v>20</v>
      </c>
      <c r="E8" s="19" t="s">
        <v>21</v>
      </c>
    </row>
    <row r="9" spans="1:9" ht="54" customHeight="1">
      <c r="A9" s="20" t="s">
        <v>22</v>
      </c>
      <c r="D9" s="21" t="s">
        <v>23</v>
      </c>
    </row>
    <row r="11" spans="1:9" ht="24" customHeight="1">
      <c r="A11" s="5" t="s">
        <v>24</v>
      </c>
      <c r="B11" s="5"/>
      <c r="C11" s="5"/>
      <c r="D11" s="5"/>
      <c r="E11" s="5"/>
      <c r="F11" s="5"/>
      <c r="G11" s="5"/>
      <c r="H11" s="5"/>
    </row>
    <row r="12" spans="1:9" ht="36" customHeight="1">
      <c r="A12" s="15" t="s">
        <v>8</v>
      </c>
      <c r="B12" s="16" t="s">
        <v>25</v>
      </c>
      <c r="C12" s="16" t="s">
        <v>26</v>
      </c>
      <c r="D12" s="16" t="s">
        <v>27</v>
      </c>
      <c r="E12" s="16" t="s">
        <v>28</v>
      </c>
      <c r="F12" s="16" t="s">
        <v>29</v>
      </c>
      <c r="G12" s="16" t="s">
        <v>30</v>
      </c>
      <c r="H12" s="16" t="s">
        <v>31</v>
      </c>
    </row>
    <row r="13" spans="1:9" ht="54" customHeight="1">
      <c r="A13" s="4" t="s">
        <v>32</v>
      </c>
      <c r="B13" s="23" t="s">
        <v>33</v>
      </c>
      <c r="C13" s="23" t="s">
        <v>34</v>
      </c>
      <c r="D13" s="23" t="s">
        <v>35</v>
      </c>
      <c r="E13" s="23" t="s">
        <v>36</v>
      </c>
      <c r="F13" s="23" t="s">
        <v>37</v>
      </c>
    </row>
    <row r="14" spans="1:9" ht="54" customHeight="1">
      <c r="A14" s="4"/>
      <c r="B14" s="23" t="s">
        <v>38</v>
      </c>
      <c r="C14" s="23" t="s">
        <v>39</v>
      </c>
      <c r="D14" s="23" t="s">
        <v>40</v>
      </c>
      <c r="E14" s="23" t="s">
        <v>41</v>
      </c>
      <c r="F14" s="23" t="s">
        <v>42</v>
      </c>
    </row>
    <row r="15" spans="1:9" ht="54" customHeight="1">
      <c r="A15" s="4"/>
      <c r="B15" s="23" t="s">
        <v>43</v>
      </c>
      <c r="C15" s="23" t="s">
        <v>44</v>
      </c>
      <c r="D15" s="23" t="s">
        <v>45</v>
      </c>
      <c r="F15" s="23" t="s">
        <v>46</v>
      </c>
    </row>
    <row r="16" spans="1:9" ht="54" customHeight="1">
      <c r="A16" s="6" t="s">
        <v>13</v>
      </c>
      <c r="E16" s="18" t="s">
        <v>47</v>
      </c>
      <c r="G16" s="18" t="s">
        <v>48</v>
      </c>
    </row>
    <row r="17" spans="1:8" ht="54" customHeight="1">
      <c r="A17" s="6"/>
      <c r="G17" s="18" t="s">
        <v>49</v>
      </c>
    </row>
    <row r="18" spans="1:8" ht="54" customHeight="1">
      <c r="A18" s="6"/>
      <c r="G18" s="19" t="s">
        <v>50</v>
      </c>
    </row>
    <row r="19" spans="1:8" ht="54" customHeight="1">
      <c r="A19" s="6"/>
      <c r="G19" s="19" t="s">
        <v>51</v>
      </c>
    </row>
    <row r="20" spans="1:8" ht="54" customHeight="1">
      <c r="A20" s="3" t="s">
        <v>22</v>
      </c>
      <c r="H20" s="24" t="s">
        <v>52</v>
      </c>
    </row>
    <row r="21" spans="1:8" ht="54" customHeight="1">
      <c r="A21" s="3"/>
      <c r="H21" s="24" t="s">
        <v>53</v>
      </c>
    </row>
    <row r="23" spans="1:8" ht="24" customHeight="1">
      <c r="A23" s="2" t="s">
        <v>54</v>
      </c>
      <c r="B23" s="2"/>
      <c r="C23" s="2"/>
      <c r="D23" s="2"/>
    </row>
    <row r="24" spans="1:8" ht="36" customHeight="1">
      <c r="A24" s="15" t="s">
        <v>8</v>
      </c>
      <c r="B24" s="16" t="s">
        <v>55</v>
      </c>
      <c r="C24" s="16" t="s">
        <v>56</v>
      </c>
      <c r="D24" s="16" t="s">
        <v>57</v>
      </c>
    </row>
    <row r="25" spans="1:8" ht="54" customHeight="1">
      <c r="A25" s="6" t="s">
        <v>13</v>
      </c>
      <c r="B25" s="19" t="s">
        <v>58</v>
      </c>
      <c r="C25" s="19" t="s">
        <v>59</v>
      </c>
    </row>
    <row r="26" spans="1:8" ht="54" customHeight="1">
      <c r="A26" s="6"/>
      <c r="B26" s="19" t="s">
        <v>60</v>
      </c>
      <c r="C26" s="19" t="s">
        <v>61</v>
      </c>
    </row>
    <row r="27" spans="1:8" ht="54" customHeight="1">
      <c r="A27" s="6"/>
      <c r="B27" s="19" t="s">
        <v>62</v>
      </c>
    </row>
    <row r="28" spans="1:8" ht="54" customHeight="1">
      <c r="A28" s="20" t="s">
        <v>22</v>
      </c>
      <c r="D28" s="24" t="s">
        <v>63</v>
      </c>
    </row>
    <row r="30" spans="1:8" ht="24" customHeight="1">
      <c r="A30" s="1" t="s">
        <v>64</v>
      </c>
      <c r="B30" s="1"/>
      <c r="C30" s="1"/>
      <c r="D30" s="1"/>
      <c r="E30" s="1"/>
    </row>
    <row r="31" spans="1:8" ht="36" customHeight="1">
      <c r="A31" s="15" t="s">
        <v>8</v>
      </c>
      <c r="B31" s="16" t="s">
        <v>65</v>
      </c>
      <c r="C31" s="16" t="s">
        <v>66</v>
      </c>
      <c r="D31" s="16" t="s">
        <v>67</v>
      </c>
      <c r="E31" s="16" t="s">
        <v>68</v>
      </c>
    </row>
    <row r="32" spans="1:8" ht="54" customHeight="1">
      <c r="A32" s="22" t="s">
        <v>32</v>
      </c>
      <c r="B32" s="23" t="s">
        <v>69</v>
      </c>
      <c r="C32" s="23" t="s">
        <v>70</v>
      </c>
      <c r="D32" s="23" t="s">
        <v>71</v>
      </c>
      <c r="E32" s="23" t="s">
        <v>72</v>
      </c>
    </row>
    <row r="33" spans="1:3" ht="54" customHeight="1">
      <c r="A33" s="17" t="s">
        <v>13</v>
      </c>
      <c r="C33" s="18" t="s">
        <v>73</v>
      </c>
    </row>
  </sheetData>
  <mergeCells count="11">
    <mergeCell ref="A30:E30"/>
    <mergeCell ref="A13:A15"/>
    <mergeCell ref="A16:A19"/>
    <mergeCell ref="A20:A21"/>
    <mergeCell ref="A23:D23"/>
    <mergeCell ref="A25:A27"/>
    <mergeCell ref="A2:I2"/>
    <mergeCell ref="E3:F3"/>
    <mergeCell ref="A5:E5"/>
    <mergeCell ref="A7:A8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/>
  <cols>
    <col min="1" max="1" width="8" customWidth="1"/>
    <col min="2" max="2" width="15" customWidth="1"/>
    <col min="3" max="3" width="17" customWidth="1"/>
    <col min="4" max="4" width="22" customWidth="1"/>
    <col min="5" max="5" width="62" customWidth="1"/>
    <col min="6" max="7" width="11" customWidth="1"/>
    <col min="8" max="8" width="13" customWidth="1"/>
    <col min="9" max="9" width="30" customWidth="1"/>
    <col min="10" max="10" width="16" customWidth="1"/>
    <col min="11" max="11" width="14" customWidth="1"/>
    <col min="12" max="12" width="11" customWidth="1"/>
    <col min="13" max="14" width="14" customWidth="1"/>
    <col min="15" max="15" width="24" customWidth="1"/>
    <col min="16" max="16" width="8" customWidth="1"/>
    <col min="17" max="17" width="36" customWidth="1"/>
  </cols>
  <sheetData>
    <row r="1" spans="1:17" ht="17.399999999999999">
      <c r="A1" s="25" t="s">
        <v>74</v>
      </c>
    </row>
    <row r="2" spans="1:17" ht="27.75" customHeight="1">
      <c r="A2" s="9" t="s">
        <v>75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4" spans="1:17" ht="43.5" customHeight="1">
      <c r="A4" s="26" t="s">
        <v>76</v>
      </c>
      <c r="B4" s="26" t="s">
        <v>77</v>
      </c>
      <c r="C4" s="26" t="s">
        <v>78</v>
      </c>
      <c r="D4" s="26" t="s">
        <v>79</v>
      </c>
      <c r="E4" s="26" t="s">
        <v>80</v>
      </c>
      <c r="F4" s="26" t="s">
        <v>81</v>
      </c>
      <c r="G4" s="26" t="s">
        <v>82</v>
      </c>
      <c r="H4" s="26" t="s">
        <v>83</v>
      </c>
      <c r="I4" s="26" t="s">
        <v>84</v>
      </c>
      <c r="J4" s="26" t="s">
        <v>85</v>
      </c>
      <c r="K4" s="26" t="s">
        <v>86</v>
      </c>
      <c r="L4" s="26" t="s">
        <v>87</v>
      </c>
      <c r="M4" s="26" t="s">
        <v>88</v>
      </c>
      <c r="N4" s="26" t="s">
        <v>89</v>
      </c>
      <c r="O4" s="26" t="s">
        <v>90</v>
      </c>
      <c r="P4" s="26" t="s">
        <v>91</v>
      </c>
      <c r="Q4" s="26" t="s">
        <v>92</v>
      </c>
    </row>
    <row r="5" spans="1:17" ht="49.5" customHeight="1">
      <c r="A5" s="27" t="s">
        <v>93</v>
      </c>
      <c r="B5" s="27" t="s">
        <v>94</v>
      </c>
      <c r="C5" s="27" t="s">
        <v>95</v>
      </c>
      <c r="D5" s="27" t="s">
        <v>9</v>
      </c>
      <c r="E5" s="27" t="s">
        <v>96</v>
      </c>
      <c r="F5" s="18" t="s">
        <v>4</v>
      </c>
      <c r="G5" s="27" t="s">
        <v>97</v>
      </c>
      <c r="H5" s="27"/>
      <c r="I5" s="27" t="str">
        <f>IFERROR(INDEX('Связь с ИСР'!$B$5:$B$29,MATCH($G5,'Связь с ИСР'!$A$5:$A$29,0)),"")</f>
        <v>Кабинет клиента и заявки</v>
      </c>
      <c r="J5" s="27" t="s">
        <v>98</v>
      </c>
      <c r="K5" s="27" t="s">
        <v>99</v>
      </c>
      <c r="L5" s="27" t="s">
        <v>100</v>
      </c>
      <c r="M5" s="27" t="str">
        <f>IFERROR(INDEX('Связь с ИСР'!$F$5:$F$29,MATCH($G5,'Связь с ИСР'!$A$5:$A$29,0)),"")</f>
        <v>В3</v>
      </c>
      <c r="N5" s="27" t="str">
        <f>IFERROR(INDEX('Связь с ИСР'!$G$5:$G$29,MATCH($G5,'Связь с ИСР'!$A$5:$A$29,0)),"")</f>
        <v>В4</v>
      </c>
      <c r="O5" s="27" t="str">
        <f t="shared" ref="O5:O45" si="0">IF(N5="исключён","исключена из базового плана (вариант Б)","в плане")</f>
        <v>в плане</v>
      </c>
      <c r="P5" s="28">
        <f t="shared" ref="P5:P45" si="1">1/COUNTIF($G$5:$G$45,$G5)</f>
        <v>0.16666666666666666</v>
      </c>
      <c r="Q5" s="27"/>
    </row>
    <row r="6" spans="1:17" ht="49.5" customHeight="1">
      <c r="A6" s="27" t="s">
        <v>101</v>
      </c>
      <c r="B6" s="27" t="s">
        <v>94</v>
      </c>
      <c r="C6" s="27" t="s">
        <v>95</v>
      </c>
      <c r="D6" s="27" t="s">
        <v>9</v>
      </c>
      <c r="E6" s="27" t="s">
        <v>102</v>
      </c>
      <c r="F6" s="18" t="s">
        <v>4</v>
      </c>
      <c r="G6" s="27" t="s">
        <v>97</v>
      </c>
      <c r="H6" s="27" t="s">
        <v>103</v>
      </c>
      <c r="I6" s="27" t="str">
        <f>IFERROR(INDEX('Связь с ИСР'!$B$5:$B$29,MATCH($G6,'Связь с ИСР'!$A$5:$A$29,0)),"")</f>
        <v>Кабинет клиента и заявки</v>
      </c>
      <c r="J6" s="27" t="s">
        <v>98</v>
      </c>
      <c r="K6" s="27" t="s">
        <v>99</v>
      </c>
      <c r="L6" s="27" t="s">
        <v>100</v>
      </c>
      <c r="M6" s="27" t="str">
        <f>IFERROR(INDEX('Связь с ИСР'!$F$5:$F$29,MATCH($G6,'Связь с ИСР'!$A$5:$A$29,0)),"")</f>
        <v>В3</v>
      </c>
      <c r="N6" s="27" t="str">
        <f>IFERROR(INDEX('Связь с ИСР'!$G$5:$G$29,MATCH($G6,'Связь с ИСР'!$A$5:$A$29,0)),"")</f>
        <v>В4</v>
      </c>
      <c r="O6" s="27" t="str">
        <f t="shared" si="0"/>
        <v>в плане</v>
      </c>
      <c r="P6" s="28">
        <f t="shared" si="1"/>
        <v>0.16666666666666666</v>
      </c>
      <c r="Q6" s="27" t="s">
        <v>104</v>
      </c>
    </row>
    <row r="7" spans="1:17" ht="49.5" customHeight="1">
      <c r="A7" s="27" t="s">
        <v>105</v>
      </c>
      <c r="B7" s="27" t="s">
        <v>94</v>
      </c>
      <c r="C7" s="27" t="s">
        <v>95</v>
      </c>
      <c r="D7" s="27" t="s">
        <v>10</v>
      </c>
      <c r="E7" s="27" t="s">
        <v>106</v>
      </c>
      <c r="F7" s="18" t="s">
        <v>4</v>
      </c>
      <c r="G7" s="27" t="s">
        <v>107</v>
      </c>
      <c r="H7" s="27" t="s">
        <v>108</v>
      </c>
      <c r="I7" s="27" t="str">
        <f>IFERROR(INDEX('Связь с ИСР'!$B$5:$B$29,MATCH($G7,'Связь с ИСР'!$A$5:$A$29,0)),"")</f>
        <v>Заказ семени с доставкой</v>
      </c>
      <c r="J7" s="27" t="s">
        <v>109</v>
      </c>
      <c r="K7" s="27" t="s">
        <v>99</v>
      </c>
      <c r="L7" s="27" t="s">
        <v>100</v>
      </c>
      <c r="M7" s="27" t="str">
        <f>IFERROR(INDEX('Связь с ИСР'!$F$5:$F$29,MATCH($G7,'Связь с ИСР'!$A$5:$A$29,0)),"")</f>
        <v>В3</v>
      </c>
      <c r="N7" s="27" t="str">
        <f>IFERROR(INDEX('Связь с ИСР'!$G$5:$G$29,MATCH($G7,'Связь с ИСР'!$A$5:$A$29,0)),"")</f>
        <v>исключён</v>
      </c>
      <c r="O7" s="27" t="str">
        <f t="shared" si="0"/>
        <v>исключена из базового плана (вариант Б)</v>
      </c>
      <c r="P7" s="28">
        <f t="shared" si="1"/>
        <v>0.5</v>
      </c>
      <c r="Q7" s="27"/>
    </row>
    <row r="8" spans="1:17" ht="49.5" customHeight="1">
      <c r="A8" s="27" t="s">
        <v>110</v>
      </c>
      <c r="B8" s="27" t="s">
        <v>94</v>
      </c>
      <c r="C8" s="27" t="s">
        <v>95</v>
      </c>
      <c r="D8" s="27" t="s">
        <v>10</v>
      </c>
      <c r="E8" s="27" t="s">
        <v>111</v>
      </c>
      <c r="F8" s="18" t="s">
        <v>4</v>
      </c>
      <c r="G8" s="27" t="s">
        <v>107</v>
      </c>
      <c r="H8" s="27"/>
      <c r="I8" s="27" t="str">
        <f>IFERROR(INDEX('Связь с ИСР'!$B$5:$B$29,MATCH($G8,'Связь с ИСР'!$A$5:$A$29,0)),"")</f>
        <v>Заказ семени с доставкой</v>
      </c>
      <c r="J8" s="27" t="s">
        <v>112</v>
      </c>
      <c r="K8" s="27" t="s">
        <v>99</v>
      </c>
      <c r="L8" s="27" t="s">
        <v>100</v>
      </c>
      <c r="M8" s="27" t="str">
        <f>IFERROR(INDEX('Связь с ИСР'!$F$5:$F$29,MATCH($G8,'Связь с ИСР'!$A$5:$A$29,0)),"")</f>
        <v>В3</v>
      </c>
      <c r="N8" s="27" t="str">
        <f>IFERROR(INDEX('Связь с ИСР'!$G$5:$G$29,MATCH($G8,'Связь с ИСР'!$A$5:$A$29,0)),"")</f>
        <v>исключён</v>
      </c>
      <c r="O8" s="27" t="str">
        <f t="shared" si="0"/>
        <v>исключена из базового плана (вариант Б)</v>
      </c>
      <c r="P8" s="28">
        <f t="shared" si="1"/>
        <v>0.5</v>
      </c>
      <c r="Q8" s="27"/>
    </row>
    <row r="9" spans="1:17" ht="49.5" customHeight="1">
      <c r="A9" s="27" t="s">
        <v>113</v>
      </c>
      <c r="B9" s="27" t="s">
        <v>94</v>
      </c>
      <c r="C9" s="27" t="s">
        <v>95</v>
      </c>
      <c r="D9" s="27" t="s">
        <v>11</v>
      </c>
      <c r="E9" s="27" t="s">
        <v>114</v>
      </c>
      <c r="F9" s="18" t="s">
        <v>4</v>
      </c>
      <c r="G9" s="27" t="s">
        <v>97</v>
      </c>
      <c r="H9" s="27"/>
      <c r="I9" s="27" t="str">
        <f>IFERROR(INDEX('Связь с ИСР'!$B$5:$B$29,MATCH($G9,'Связь с ИСР'!$A$5:$A$29,0)),"")</f>
        <v>Кабинет клиента и заявки</v>
      </c>
      <c r="J9" s="27" t="s">
        <v>98</v>
      </c>
      <c r="K9" s="27" t="s">
        <v>99</v>
      </c>
      <c r="L9" s="27" t="s">
        <v>100</v>
      </c>
      <c r="M9" s="27" t="str">
        <f>IFERROR(INDEX('Связь с ИСР'!$F$5:$F$29,MATCH($G9,'Связь с ИСР'!$A$5:$A$29,0)),"")</f>
        <v>В3</v>
      </c>
      <c r="N9" s="27" t="str">
        <f>IFERROR(INDEX('Связь с ИСР'!$G$5:$G$29,MATCH($G9,'Связь с ИСР'!$A$5:$A$29,0)),"")</f>
        <v>В4</v>
      </c>
      <c r="O9" s="27" t="str">
        <f t="shared" si="0"/>
        <v>в плане</v>
      </c>
      <c r="P9" s="28">
        <f t="shared" si="1"/>
        <v>0.16666666666666666</v>
      </c>
      <c r="Q9" s="27"/>
    </row>
    <row r="10" spans="1:17" ht="49.5" customHeight="1">
      <c r="A10" s="27" t="s">
        <v>115</v>
      </c>
      <c r="B10" s="27" t="s">
        <v>94</v>
      </c>
      <c r="C10" s="27" t="s">
        <v>95</v>
      </c>
      <c r="D10" s="27" t="s">
        <v>11</v>
      </c>
      <c r="E10" s="27" t="s">
        <v>116</v>
      </c>
      <c r="F10" s="18" t="s">
        <v>4</v>
      </c>
      <c r="G10" s="27" t="s">
        <v>97</v>
      </c>
      <c r="H10" s="27"/>
      <c r="I10" s="27" t="str">
        <f>IFERROR(INDEX('Связь с ИСР'!$B$5:$B$29,MATCH($G10,'Связь с ИСР'!$A$5:$A$29,0)),"")</f>
        <v>Кабинет клиента и заявки</v>
      </c>
      <c r="J10" s="27" t="s">
        <v>98</v>
      </c>
      <c r="K10" s="27" t="s">
        <v>99</v>
      </c>
      <c r="L10" s="27" t="s">
        <v>100</v>
      </c>
      <c r="M10" s="27" t="str">
        <f>IFERROR(INDEX('Связь с ИСР'!$F$5:$F$29,MATCH($G10,'Связь с ИСР'!$A$5:$A$29,0)),"")</f>
        <v>В3</v>
      </c>
      <c r="N10" s="27" t="str">
        <f>IFERROR(INDEX('Связь с ИСР'!$G$5:$G$29,MATCH($G10,'Связь с ИСР'!$A$5:$A$29,0)),"")</f>
        <v>В4</v>
      </c>
      <c r="O10" s="27" t="str">
        <f t="shared" si="0"/>
        <v>в плане</v>
      </c>
      <c r="P10" s="28">
        <f t="shared" si="1"/>
        <v>0.16666666666666666</v>
      </c>
      <c r="Q10" s="27"/>
    </row>
    <row r="11" spans="1:17" ht="49.5" customHeight="1">
      <c r="A11" s="27" t="s">
        <v>117</v>
      </c>
      <c r="B11" s="27" t="s">
        <v>94</v>
      </c>
      <c r="C11" s="27" t="s">
        <v>95</v>
      </c>
      <c r="D11" s="27" t="s">
        <v>11</v>
      </c>
      <c r="E11" s="27" t="s">
        <v>118</v>
      </c>
      <c r="F11" s="21" t="s">
        <v>5</v>
      </c>
      <c r="G11" s="27" t="s">
        <v>119</v>
      </c>
      <c r="H11" s="27" t="s">
        <v>97</v>
      </c>
      <c r="I11" s="27" t="str">
        <f>IFERROR(INDEX('Связь с ИСР'!$B$5:$B$29,MATCH($G11,'Связь с ИСР'!$A$5:$A$29,0)),"")</f>
        <v>Интеграция внешних сервисов (заглушки)</v>
      </c>
      <c r="J11" s="27" t="s">
        <v>120</v>
      </c>
      <c r="K11" s="27" t="s">
        <v>121</v>
      </c>
      <c r="L11" s="27" t="s">
        <v>122</v>
      </c>
      <c r="M11" s="27" t="str">
        <f>IFERROR(INDEX('Связь с ИСР'!$F$5:$F$29,MATCH($G11,'Связь с ИСР'!$A$5:$A$29,0)),"")</f>
        <v>В2–В4</v>
      </c>
      <c r="N11" s="27" t="str">
        <f>IFERROR(INDEX('Связь с ИСР'!$G$5:$G$29,MATCH($G11,'Связь с ИСР'!$A$5:$A$29,0)),"")</f>
        <v>В2</v>
      </c>
      <c r="O11" s="27" t="str">
        <f t="shared" si="0"/>
        <v>в плане</v>
      </c>
      <c r="P11" s="28">
        <f t="shared" si="1"/>
        <v>0.33333333333333331</v>
      </c>
      <c r="Q11" s="27" t="s">
        <v>123</v>
      </c>
    </row>
    <row r="12" spans="1:17" ht="49.5" customHeight="1">
      <c r="A12" s="27" t="s">
        <v>124</v>
      </c>
      <c r="B12" s="27" t="s">
        <v>94</v>
      </c>
      <c r="C12" s="27" t="s">
        <v>95</v>
      </c>
      <c r="D12" s="27" t="s">
        <v>12</v>
      </c>
      <c r="E12" s="27" t="s">
        <v>125</v>
      </c>
      <c r="F12" s="18" t="s">
        <v>4</v>
      </c>
      <c r="G12" s="27" t="s">
        <v>126</v>
      </c>
      <c r="H12" s="27"/>
      <c r="I12" s="27" t="str">
        <f>IFERROR(INDEX('Связь с ИСР'!$B$5:$B$29,MATCH($G12,'Связь с ИСР'!$A$5:$A$29,0)),"")</f>
        <v>Счета и платежи</v>
      </c>
      <c r="J12" s="27" t="s">
        <v>127</v>
      </c>
      <c r="K12" s="27" t="s">
        <v>128</v>
      </c>
      <c r="L12" s="27" t="s">
        <v>129</v>
      </c>
      <c r="M12" s="27" t="str">
        <f>IFERROR(INDEX('Связь с ИСР'!$F$5:$F$29,MATCH($G12,'Связь с ИСР'!$A$5:$A$29,0)),"")</f>
        <v>В4</v>
      </c>
      <c r="N12" s="27" t="str">
        <f>IFERROR(INDEX('Связь с ИСР'!$G$5:$G$29,MATCH($G12,'Связь с ИСР'!$A$5:$A$29,0)),"")</f>
        <v>исключён</v>
      </c>
      <c r="O12" s="27" t="str">
        <f t="shared" si="0"/>
        <v>исключена из базового плана (вариант Б)</v>
      </c>
      <c r="P12" s="28">
        <f t="shared" si="1"/>
        <v>0.14285714285714285</v>
      </c>
      <c r="Q12" s="27"/>
    </row>
    <row r="13" spans="1:17" ht="49.5" customHeight="1">
      <c r="A13" s="27" t="s">
        <v>130</v>
      </c>
      <c r="B13" s="27" t="s">
        <v>94</v>
      </c>
      <c r="C13" s="27" t="s">
        <v>95</v>
      </c>
      <c r="D13" s="27" t="s">
        <v>12</v>
      </c>
      <c r="E13" s="27" t="s">
        <v>131</v>
      </c>
      <c r="F13" s="18" t="s">
        <v>4</v>
      </c>
      <c r="G13" s="27" t="s">
        <v>126</v>
      </c>
      <c r="H13" s="27" t="s">
        <v>119</v>
      </c>
      <c r="I13" s="27" t="str">
        <f>IFERROR(INDEX('Связь с ИСР'!$B$5:$B$29,MATCH($G13,'Связь с ИСР'!$A$5:$A$29,0)),"")</f>
        <v>Счета и платежи</v>
      </c>
      <c r="J13" s="27" t="s">
        <v>132</v>
      </c>
      <c r="K13" s="27" t="s">
        <v>128</v>
      </c>
      <c r="L13" s="27" t="s">
        <v>129</v>
      </c>
      <c r="M13" s="27" t="str">
        <f>IFERROR(INDEX('Связь с ИСР'!$F$5:$F$29,MATCH($G13,'Связь с ИСР'!$A$5:$A$29,0)),"")</f>
        <v>В4</v>
      </c>
      <c r="N13" s="27" t="str">
        <f>IFERROR(INDEX('Связь с ИСР'!$G$5:$G$29,MATCH($G13,'Связь с ИСР'!$A$5:$A$29,0)),"")</f>
        <v>исключён</v>
      </c>
      <c r="O13" s="27" t="str">
        <f t="shared" si="0"/>
        <v>исключена из базового плана (вариант Б)</v>
      </c>
      <c r="P13" s="28">
        <f t="shared" si="1"/>
        <v>0.14285714285714285</v>
      </c>
      <c r="Q13" s="27"/>
    </row>
    <row r="14" spans="1:17" ht="49.5" customHeight="1">
      <c r="A14" s="27" t="s">
        <v>133</v>
      </c>
      <c r="B14" s="27" t="s">
        <v>134</v>
      </c>
      <c r="C14" s="27" t="s">
        <v>135</v>
      </c>
      <c r="D14" s="27" t="s">
        <v>25</v>
      </c>
      <c r="E14" s="27" t="s">
        <v>136</v>
      </c>
      <c r="F14" s="23" t="s">
        <v>3</v>
      </c>
      <c r="G14" s="27" t="s">
        <v>103</v>
      </c>
      <c r="H14" s="27"/>
      <c r="I14" s="27" t="str">
        <f>IFERROR(INDEX('Связь с ИСР'!$B$5:$B$29,MATCH($G14,'Связь с ИСР'!$A$5:$A$29,0)),"")</f>
        <v>Реестр лошадей и карточка лошади</v>
      </c>
      <c r="J14" s="27" t="s">
        <v>137</v>
      </c>
      <c r="K14" s="27" t="s">
        <v>138</v>
      </c>
      <c r="L14" s="27" t="s">
        <v>139</v>
      </c>
      <c r="M14" s="27" t="str">
        <f>IFERROR(INDEX('Связь с ИСР'!$F$5:$F$29,MATCH($G14,'Связь с ИСР'!$A$5:$A$29,0)),"")</f>
        <v>В1</v>
      </c>
      <c r="N14" s="27" t="str">
        <f>IFERROR(INDEX('Связь с ИСР'!$G$5:$G$29,MATCH($G14,'Связь с ИСР'!$A$5:$A$29,0)),"")</f>
        <v>В1</v>
      </c>
      <c r="O14" s="27" t="str">
        <f t="shared" si="0"/>
        <v>в плане</v>
      </c>
      <c r="P14" s="28">
        <f t="shared" si="1"/>
        <v>0.33333333333333331</v>
      </c>
      <c r="Q14" s="27"/>
    </row>
    <row r="15" spans="1:17" ht="49.5" customHeight="1">
      <c r="A15" s="27" t="s">
        <v>140</v>
      </c>
      <c r="B15" s="27" t="s">
        <v>134</v>
      </c>
      <c r="C15" s="27" t="s">
        <v>135</v>
      </c>
      <c r="D15" s="27" t="s">
        <v>25</v>
      </c>
      <c r="E15" s="27" t="s">
        <v>141</v>
      </c>
      <c r="F15" s="23" t="s">
        <v>3</v>
      </c>
      <c r="G15" s="27" t="s">
        <v>103</v>
      </c>
      <c r="H15" s="27"/>
      <c r="I15" s="27" t="str">
        <f>IFERROR(INDEX('Связь с ИСР'!$B$5:$B$29,MATCH($G15,'Связь с ИСР'!$A$5:$A$29,0)),"")</f>
        <v>Реестр лошадей и карточка лошади</v>
      </c>
      <c r="J15" s="27" t="s">
        <v>137</v>
      </c>
      <c r="K15" s="27" t="s">
        <v>138</v>
      </c>
      <c r="L15" s="27" t="s">
        <v>139</v>
      </c>
      <c r="M15" s="27" t="str">
        <f>IFERROR(INDEX('Связь с ИСР'!$F$5:$F$29,MATCH($G15,'Связь с ИСР'!$A$5:$A$29,0)),"")</f>
        <v>В1</v>
      </c>
      <c r="N15" s="27" t="str">
        <f>IFERROR(INDEX('Связь с ИСР'!$G$5:$G$29,MATCH($G15,'Связь с ИСР'!$A$5:$A$29,0)),"")</f>
        <v>В1</v>
      </c>
      <c r="O15" s="27" t="str">
        <f t="shared" si="0"/>
        <v>в плане</v>
      </c>
      <c r="P15" s="28">
        <f t="shared" si="1"/>
        <v>0.33333333333333331</v>
      </c>
      <c r="Q15" s="27"/>
    </row>
    <row r="16" spans="1:17" ht="49.5" customHeight="1">
      <c r="A16" s="27" t="s">
        <v>142</v>
      </c>
      <c r="B16" s="27" t="s">
        <v>134</v>
      </c>
      <c r="C16" s="27" t="s">
        <v>135</v>
      </c>
      <c r="D16" s="27" t="s">
        <v>25</v>
      </c>
      <c r="E16" s="27" t="s">
        <v>143</v>
      </c>
      <c r="F16" s="23" t="s">
        <v>3</v>
      </c>
      <c r="G16" s="27" t="s">
        <v>103</v>
      </c>
      <c r="H16" s="27"/>
      <c r="I16" s="27" t="str">
        <f>IFERROR(INDEX('Связь с ИСР'!$B$5:$B$29,MATCH($G16,'Связь с ИСР'!$A$5:$A$29,0)),"")</f>
        <v>Реестр лошадей и карточка лошади</v>
      </c>
      <c r="J16" s="27" t="s">
        <v>137</v>
      </c>
      <c r="K16" s="27" t="s">
        <v>138</v>
      </c>
      <c r="L16" s="27" t="s">
        <v>139</v>
      </c>
      <c r="M16" s="27" t="str">
        <f>IFERROR(INDEX('Связь с ИСР'!$F$5:$F$29,MATCH($G16,'Связь с ИСР'!$A$5:$A$29,0)),"")</f>
        <v>В1</v>
      </c>
      <c r="N16" s="27" t="str">
        <f>IFERROR(INDEX('Связь с ИСР'!$G$5:$G$29,MATCH($G16,'Связь с ИСР'!$A$5:$A$29,0)),"")</f>
        <v>В1</v>
      </c>
      <c r="O16" s="27" t="str">
        <f t="shared" si="0"/>
        <v>в плане</v>
      </c>
      <c r="P16" s="28">
        <f t="shared" si="1"/>
        <v>0.33333333333333331</v>
      </c>
      <c r="Q16" s="27" t="s">
        <v>104</v>
      </c>
    </row>
    <row r="17" spans="1:17" ht="49.5" customHeight="1">
      <c r="A17" s="27" t="s">
        <v>144</v>
      </c>
      <c r="B17" s="27" t="s">
        <v>134</v>
      </c>
      <c r="C17" s="27" t="s">
        <v>135</v>
      </c>
      <c r="D17" s="27" t="s">
        <v>26</v>
      </c>
      <c r="E17" s="27" t="s">
        <v>145</v>
      </c>
      <c r="F17" s="23" t="s">
        <v>3</v>
      </c>
      <c r="G17" s="27" t="s">
        <v>146</v>
      </c>
      <c r="H17" s="27"/>
      <c r="I17" s="27" t="str">
        <f>IFERROR(INDEX('Связь с ИСР'!$B$5:$B$29,MATCH($G17,'Связь с ИСР'!$A$5:$A$29,0)),"")</f>
        <v>Размещение и перемещения</v>
      </c>
      <c r="J17" s="27" t="s">
        <v>147</v>
      </c>
      <c r="K17" s="27" t="s">
        <v>148</v>
      </c>
      <c r="L17" s="27" t="s">
        <v>149</v>
      </c>
      <c r="M17" s="27" t="str">
        <f>IFERROR(INDEX('Связь с ИСР'!$F$5:$F$29,MATCH($G17,'Связь с ИСР'!$A$5:$A$29,0)),"")</f>
        <v>В1</v>
      </c>
      <c r="N17" s="27" t="str">
        <f>IFERROR(INDEX('Связь с ИСР'!$G$5:$G$29,MATCH($G17,'Связь с ИСР'!$A$5:$A$29,0)),"")</f>
        <v>В2</v>
      </c>
      <c r="O17" s="27" t="str">
        <f t="shared" si="0"/>
        <v>в плане</v>
      </c>
      <c r="P17" s="28">
        <f t="shared" si="1"/>
        <v>0.33333333333333331</v>
      </c>
      <c r="Q17" s="27"/>
    </row>
    <row r="18" spans="1:17" ht="49.5" customHeight="1">
      <c r="A18" s="27" t="s">
        <v>150</v>
      </c>
      <c r="B18" s="27" t="s">
        <v>134</v>
      </c>
      <c r="C18" s="27" t="s">
        <v>135</v>
      </c>
      <c r="D18" s="27" t="s">
        <v>26</v>
      </c>
      <c r="E18" s="27" t="s">
        <v>151</v>
      </c>
      <c r="F18" s="23" t="s">
        <v>3</v>
      </c>
      <c r="G18" s="27" t="s">
        <v>146</v>
      </c>
      <c r="H18" s="27"/>
      <c r="I18" s="27" t="str">
        <f>IFERROR(INDEX('Связь с ИСР'!$B$5:$B$29,MATCH($G18,'Связь с ИСР'!$A$5:$A$29,0)),"")</f>
        <v>Размещение и перемещения</v>
      </c>
      <c r="J18" s="27" t="s">
        <v>147</v>
      </c>
      <c r="K18" s="27" t="s">
        <v>148</v>
      </c>
      <c r="L18" s="27" t="s">
        <v>149</v>
      </c>
      <c r="M18" s="27" t="str">
        <f>IFERROR(INDEX('Связь с ИСР'!$F$5:$F$29,MATCH($G18,'Связь с ИСР'!$A$5:$A$29,0)),"")</f>
        <v>В1</v>
      </c>
      <c r="N18" s="27" t="str">
        <f>IFERROR(INDEX('Связь с ИСР'!$G$5:$G$29,MATCH($G18,'Связь с ИСР'!$A$5:$A$29,0)),"")</f>
        <v>В2</v>
      </c>
      <c r="O18" s="27" t="str">
        <f t="shared" si="0"/>
        <v>в плане</v>
      </c>
      <c r="P18" s="28">
        <f t="shared" si="1"/>
        <v>0.33333333333333331</v>
      </c>
      <c r="Q18" s="27"/>
    </row>
    <row r="19" spans="1:17" ht="49.5" customHeight="1">
      <c r="A19" s="27" t="s">
        <v>152</v>
      </c>
      <c r="B19" s="27" t="s">
        <v>134</v>
      </c>
      <c r="C19" s="27" t="s">
        <v>135</v>
      </c>
      <c r="D19" s="27" t="s">
        <v>26</v>
      </c>
      <c r="E19" s="27" t="s">
        <v>153</v>
      </c>
      <c r="F19" s="23" t="s">
        <v>3</v>
      </c>
      <c r="G19" s="27" t="s">
        <v>146</v>
      </c>
      <c r="H19" s="27" t="s">
        <v>103</v>
      </c>
      <c r="I19" s="27" t="str">
        <f>IFERROR(INDEX('Связь с ИСР'!$B$5:$B$29,MATCH($G19,'Связь с ИСР'!$A$5:$A$29,0)),"")</f>
        <v>Размещение и перемещения</v>
      </c>
      <c r="J19" s="27" t="s">
        <v>147</v>
      </c>
      <c r="K19" s="27" t="s">
        <v>148</v>
      </c>
      <c r="L19" s="27" t="s">
        <v>149</v>
      </c>
      <c r="M19" s="27" t="str">
        <f>IFERROR(INDEX('Связь с ИСР'!$F$5:$F$29,MATCH($G19,'Связь с ИСР'!$A$5:$A$29,0)),"")</f>
        <v>В1</v>
      </c>
      <c r="N19" s="27" t="str">
        <f>IFERROR(INDEX('Связь с ИСР'!$G$5:$G$29,MATCH($G19,'Связь с ИСР'!$A$5:$A$29,0)),"")</f>
        <v>В2</v>
      </c>
      <c r="O19" s="27" t="str">
        <f t="shared" si="0"/>
        <v>в плане</v>
      </c>
      <c r="P19" s="28">
        <f t="shared" si="1"/>
        <v>0.33333333333333331</v>
      </c>
      <c r="Q19" s="27"/>
    </row>
    <row r="20" spans="1:17" ht="49.5" customHeight="1">
      <c r="A20" s="27" t="s">
        <v>154</v>
      </c>
      <c r="B20" s="27" t="s">
        <v>134</v>
      </c>
      <c r="C20" s="27" t="s">
        <v>135</v>
      </c>
      <c r="D20" s="27" t="s">
        <v>27</v>
      </c>
      <c r="E20" s="27" t="s">
        <v>155</v>
      </c>
      <c r="F20" s="23" t="s">
        <v>3</v>
      </c>
      <c r="G20" s="27" t="s">
        <v>156</v>
      </c>
      <c r="H20" s="27"/>
      <c r="I20" s="27" t="str">
        <f>IFERROR(INDEX('Связь с ИСР'!$B$5:$B$29,MATCH($G20,'Связь с ИСР'!$A$5:$A$29,0)),"")</f>
        <v>Ввод записей о состоянии и происшествиях</v>
      </c>
      <c r="J20" s="27" t="s">
        <v>157</v>
      </c>
      <c r="K20" s="27" t="s">
        <v>158</v>
      </c>
      <c r="L20" s="27" t="s">
        <v>159</v>
      </c>
      <c r="M20" s="27" t="str">
        <f>IFERROR(INDEX('Связь с ИСР'!$F$5:$F$29,MATCH($G20,'Связь с ИСР'!$A$5:$A$29,0)),"")</f>
        <v>В2</v>
      </c>
      <c r="N20" s="27" t="str">
        <f>IFERROR(INDEX('Связь с ИСР'!$G$5:$G$29,MATCH($G20,'Связь с ИСР'!$A$5:$A$29,0)),"")</f>
        <v>В2</v>
      </c>
      <c r="O20" s="27" t="str">
        <f t="shared" si="0"/>
        <v>в плане</v>
      </c>
      <c r="P20" s="28">
        <f t="shared" si="1"/>
        <v>0.33333333333333331</v>
      </c>
      <c r="Q20" s="27"/>
    </row>
    <row r="21" spans="1:17" ht="49.5" customHeight="1">
      <c r="A21" s="27" t="s">
        <v>160</v>
      </c>
      <c r="B21" s="27" t="s">
        <v>134</v>
      </c>
      <c r="C21" s="27" t="s">
        <v>135</v>
      </c>
      <c r="D21" s="27" t="s">
        <v>27</v>
      </c>
      <c r="E21" s="27" t="s">
        <v>161</v>
      </c>
      <c r="F21" s="23" t="s">
        <v>3</v>
      </c>
      <c r="G21" s="27" t="s">
        <v>156</v>
      </c>
      <c r="H21" s="27"/>
      <c r="I21" s="27" t="str">
        <f>IFERROR(INDEX('Связь с ИСР'!$B$5:$B$29,MATCH($G21,'Связь с ИСР'!$A$5:$A$29,0)),"")</f>
        <v>Ввод записей о состоянии и происшествиях</v>
      </c>
      <c r="J21" s="27" t="s">
        <v>162</v>
      </c>
      <c r="K21" s="27" t="s">
        <v>158</v>
      </c>
      <c r="L21" s="27" t="s">
        <v>159</v>
      </c>
      <c r="M21" s="27" t="str">
        <f>IFERROR(INDEX('Связь с ИСР'!$F$5:$F$29,MATCH($G21,'Связь с ИСР'!$A$5:$A$29,0)),"")</f>
        <v>В2</v>
      </c>
      <c r="N21" s="27" t="str">
        <f>IFERROR(INDEX('Связь с ИСР'!$G$5:$G$29,MATCH($G21,'Связь с ИСР'!$A$5:$A$29,0)),"")</f>
        <v>В2</v>
      </c>
      <c r="O21" s="27" t="str">
        <f t="shared" si="0"/>
        <v>в плане</v>
      </c>
      <c r="P21" s="28">
        <f t="shared" si="1"/>
        <v>0.33333333333333331</v>
      </c>
      <c r="Q21" s="27"/>
    </row>
    <row r="22" spans="1:17" ht="49.5" customHeight="1">
      <c r="A22" s="27" t="s">
        <v>163</v>
      </c>
      <c r="B22" s="27" t="s">
        <v>134</v>
      </c>
      <c r="C22" s="27" t="s">
        <v>135</v>
      </c>
      <c r="D22" s="27" t="s">
        <v>27</v>
      </c>
      <c r="E22" s="27" t="s">
        <v>164</v>
      </c>
      <c r="F22" s="23" t="s">
        <v>3</v>
      </c>
      <c r="G22" s="27" t="s">
        <v>156</v>
      </c>
      <c r="H22" s="27"/>
      <c r="I22" s="27" t="str">
        <f>IFERROR(INDEX('Связь с ИСР'!$B$5:$B$29,MATCH($G22,'Связь с ИСР'!$A$5:$A$29,0)),"")</f>
        <v>Ввод записей о состоянии и происшествиях</v>
      </c>
      <c r="J22" s="27" t="s">
        <v>165</v>
      </c>
      <c r="K22" s="27" t="s">
        <v>158</v>
      </c>
      <c r="L22" s="27" t="s">
        <v>159</v>
      </c>
      <c r="M22" s="27" t="str">
        <f>IFERROR(INDEX('Связь с ИСР'!$F$5:$F$29,MATCH($G22,'Связь с ИСР'!$A$5:$A$29,0)),"")</f>
        <v>В2</v>
      </c>
      <c r="N22" s="27" t="str">
        <f>IFERROR(INDEX('Связь с ИСР'!$G$5:$G$29,MATCH($G22,'Связь с ИСР'!$A$5:$A$29,0)),"")</f>
        <v>В2</v>
      </c>
      <c r="O22" s="27" t="str">
        <f t="shared" si="0"/>
        <v>в плане</v>
      </c>
      <c r="P22" s="28">
        <f t="shared" si="1"/>
        <v>0.33333333333333331</v>
      </c>
      <c r="Q22" s="27"/>
    </row>
    <row r="23" spans="1:17" ht="49.5" customHeight="1">
      <c r="A23" s="27" t="s">
        <v>166</v>
      </c>
      <c r="B23" s="27" t="s">
        <v>134</v>
      </c>
      <c r="C23" s="27" t="s">
        <v>135</v>
      </c>
      <c r="D23" s="27" t="s">
        <v>28</v>
      </c>
      <c r="E23" s="27" t="s">
        <v>167</v>
      </c>
      <c r="F23" s="23" t="s">
        <v>3</v>
      </c>
      <c r="G23" s="27" t="s">
        <v>168</v>
      </c>
      <c r="H23" s="27" t="s">
        <v>156</v>
      </c>
      <c r="I23" s="27" t="str">
        <f>IFERROR(INDEX('Связь с ИСР'!$B$5:$B$29,MATCH($G23,'Связь с ИСР'!$A$5:$A$29,0)),"")</f>
        <v>Справка «История жеребца»</v>
      </c>
      <c r="J23" s="27" t="s">
        <v>169</v>
      </c>
      <c r="K23" s="27" t="s">
        <v>170</v>
      </c>
      <c r="L23" s="27" t="s">
        <v>171</v>
      </c>
      <c r="M23" s="27" t="str">
        <f>IFERROR(INDEX('Связь с ИСР'!$F$5:$F$29,MATCH($G23,'Связь с ИСР'!$A$5:$A$29,0)),"")</f>
        <v>В2</v>
      </c>
      <c r="N23" s="27" t="str">
        <f>IFERROR(INDEX('Связь с ИСР'!$G$5:$G$29,MATCH($G23,'Связь с ИСР'!$A$5:$A$29,0)),"")</f>
        <v>В3</v>
      </c>
      <c r="O23" s="27" t="str">
        <f t="shared" si="0"/>
        <v>в плане</v>
      </c>
      <c r="P23" s="28">
        <f t="shared" si="1"/>
        <v>1</v>
      </c>
      <c r="Q23" s="27"/>
    </row>
    <row r="24" spans="1:17" ht="49.5" customHeight="1">
      <c r="A24" s="27" t="s">
        <v>172</v>
      </c>
      <c r="B24" s="27" t="s">
        <v>134</v>
      </c>
      <c r="C24" s="27" t="s">
        <v>135</v>
      </c>
      <c r="D24" s="27" t="s">
        <v>28</v>
      </c>
      <c r="E24" s="27" t="s">
        <v>173</v>
      </c>
      <c r="F24" s="23" t="s">
        <v>3</v>
      </c>
      <c r="G24" s="27" t="s">
        <v>174</v>
      </c>
      <c r="H24" s="27" t="s">
        <v>175</v>
      </c>
      <c r="I24" s="27" t="str">
        <f>IFERROR(INDEX('Связь с ИСР'!$B$5:$B$29,MATCH($G24,'Связь с ИСР'!$A$5:$A$29,0)),"")</f>
        <v>Справка «Перемещения и контакты»</v>
      </c>
      <c r="J24" s="27" t="s">
        <v>176</v>
      </c>
      <c r="K24" s="27" t="s">
        <v>148</v>
      </c>
      <c r="L24" s="27" t="s">
        <v>177</v>
      </c>
      <c r="M24" s="27" t="str">
        <f>IFERROR(INDEX('Связь с ИСР'!$F$5:$F$29,MATCH($G24,'Связь с ИСР'!$A$5:$A$29,0)),"")</f>
        <v>В2</v>
      </c>
      <c r="N24" s="27" t="str">
        <f>IFERROR(INDEX('Связь с ИСР'!$G$5:$G$29,MATCH($G24,'Связь с ИСР'!$A$5:$A$29,0)),"")</f>
        <v>В3</v>
      </c>
      <c r="O24" s="27" t="str">
        <f t="shared" si="0"/>
        <v>в плане</v>
      </c>
      <c r="P24" s="28">
        <f t="shared" si="1"/>
        <v>1</v>
      </c>
      <c r="Q24" s="27"/>
    </row>
    <row r="25" spans="1:17" ht="49.5" customHeight="1">
      <c r="A25" s="27" t="s">
        <v>178</v>
      </c>
      <c r="B25" s="27" t="s">
        <v>134</v>
      </c>
      <c r="C25" s="27" t="s">
        <v>135</v>
      </c>
      <c r="D25" s="27" t="s">
        <v>28</v>
      </c>
      <c r="E25" s="27" t="s">
        <v>179</v>
      </c>
      <c r="F25" s="18" t="s">
        <v>4</v>
      </c>
      <c r="G25" s="27" t="s">
        <v>119</v>
      </c>
      <c r="H25" s="27" t="s">
        <v>180</v>
      </c>
      <c r="I25" s="27" t="str">
        <f>IFERROR(INDEX('Связь с ИСР'!$B$5:$B$29,MATCH($G25,'Связь с ИСР'!$A$5:$A$29,0)),"")</f>
        <v>Интеграция внешних сервисов (заглушки)</v>
      </c>
      <c r="J25" s="27" t="s">
        <v>181</v>
      </c>
      <c r="K25" s="27" t="s">
        <v>182</v>
      </c>
      <c r="L25" s="27" t="s">
        <v>183</v>
      </c>
      <c r="M25" s="27" t="str">
        <f>IFERROR(INDEX('Связь с ИСР'!$F$5:$F$29,MATCH($G25,'Связь с ИСР'!$A$5:$A$29,0)),"")</f>
        <v>В2–В4</v>
      </c>
      <c r="N25" s="27" t="str">
        <f>IFERROR(INDEX('Связь с ИСР'!$G$5:$G$29,MATCH($G25,'Связь с ИСР'!$A$5:$A$29,0)),"")</f>
        <v>В2</v>
      </c>
      <c r="O25" s="27" t="str">
        <f t="shared" si="0"/>
        <v>в плане</v>
      </c>
      <c r="P25" s="28">
        <f t="shared" si="1"/>
        <v>0.33333333333333331</v>
      </c>
      <c r="Q25" s="27" t="s">
        <v>184</v>
      </c>
    </row>
    <row r="26" spans="1:17" ht="49.5" customHeight="1">
      <c r="A26" s="27" t="s">
        <v>185</v>
      </c>
      <c r="B26" s="27" t="s">
        <v>134</v>
      </c>
      <c r="C26" s="27" t="s">
        <v>135</v>
      </c>
      <c r="D26" s="27" t="s">
        <v>29</v>
      </c>
      <c r="E26" s="27" t="s">
        <v>186</v>
      </c>
      <c r="F26" s="23" t="s">
        <v>3</v>
      </c>
      <c r="G26" s="27" t="s">
        <v>187</v>
      </c>
      <c r="H26" s="27" t="s">
        <v>188</v>
      </c>
      <c r="I26" s="27" t="str">
        <f>IFERROR(INDEX('Связь с ИСР'!$B$5:$B$29,MATCH($G26,'Связь с ИСР'!$A$5:$A$29,0)),"")</f>
        <v>Проверка совместимости пар</v>
      </c>
      <c r="J26" s="27" t="s">
        <v>189</v>
      </c>
      <c r="K26" s="27" t="s">
        <v>190</v>
      </c>
      <c r="L26" s="27" t="s">
        <v>191</v>
      </c>
      <c r="M26" s="27" t="str">
        <f>IFERROR(INDEX('Связь с ИСР'!$F$5:$F$29,MATCH($G26,'Связь с ИСР'!$A$5:$A$29,0)),"")</f>
        <v>В3</v>
      </c>
      <c r="N26" s="27" t="str">
        <f>IFERROR(INDEX('Связь с ИСР'!$G$5:$G$29,MATCH($G26,'Связь с ИСР'!$A$5:$A$29,0)),"")</f>
        <v>В4</v>
      </c>
      <c r="O26" s="27" t="str">
        <f t="shared" si="0"/>
        <v>в плане</v>
      </c>
      <c r="P26" s="28">
        <f t="shared" si="1"/>
        <v>0.5</v>
      </c>
      <c r="Q26" s="27"/>
    </row>
    <row r="27" spans="1:17" ht="49.5" customHeight="1">
      <c r="A27" s="27" t="s">
        <v>192</v>
      </c>
      <c r="B27" s="27" t="s">
        <v>134</v>
      </c>
      <c r="C27" s="27" t="s">
        <v>135</v>
      </c>
      <c r="D27" s="27" t="s">
        <v>29</v>
      </c>
      <c r="E27" s="27" t="s">
        <v>193</v>
      </c>
      <c r="F27" s="23" t="s">
        <v>3</v>
      </c>
      <c r="G27" s="27" t="s">
        <v>187</v>
      </c>
      <c r="H27" s="27" t="s">
        <v>194</v>
      </c>
      <c r="I27" s="27" t="str">
        <f>IFERROR(INDEX('Связь с ИСР'!$B$5:$B$29,MATCH($G27,'Связь с ИСР'!$A$5:$A$29,0)),"")</f>
        <v>Проверка совместимости пар</v>
      </c>
      <c r="J27" s="27" t="s">
        <v>189</v>
      </c>
      <c r="K27" s="27" t="s">
        <v>190</v>
      </c>
      <c r="L27" s="27" t="s">
        <v>191</v>
      </c>
      <c r="M27" s="27" t="str">
        <f>IFERROR(INDEX('Связь с ИСР'!$F$5:$F$29,MATCH($G27,'Связь с ИСР'!$A$5:$A$29,0)),"")</f>
        <v>В3</v>
      </c>
      <c r="N27" s="27" t="str">
        <f>IFERROR(INDEX('Связь с ИСР'!$G$5:$G$29,MATCH($G27,'Связь с ИСР'!$A$5:$A$29,0)),"")</f>
        <v>В4</v>
      </c>
      <c r="O27" s="27" t="str">
        <f t="shared" si="0"/>
        <v>в плане</v>
      </c>
      <c r="P27" s="28">
        <f t="shared" si="1"/>
        <v>0.5</v>
      </c>
      <c r="Q27" s="27"/>
    </row>
    <row r="28" spans="1:17" ht="49.5" customHeight="1">
      <c r="A28" s="27" t="s">
        <v>195</v>
      </c>
      <c r="B28" s="27" t="s">
        <v>134</v>
      </c>
      <c r="C28" s="27" t="s">
        <v>135</v>
      </c>
      <c r="D28" s="27" t="s">
        <v>29</v>
      </c>
      <c r="E28" s="27" t="s">
        <v>196</v>
      </c>
      <c r="F28" s="23" t="s">
        <v>3</v>
      </c>
      <c r="G28" s="27" t="s">
        <v>194</v>
      </c>
      <c r="H28" s="27"/>
      <c r="I28" s="27" t="str">
        <f>IFERROR(INDEX('Связь с ИСР'!$B$5:$B$29,MATCH($G28,'Связь с ИСР'!$A$5:$A$29,0)),"")</f>
        <v>Формализация правил совместимости</v>
      </c>
      <c r="J28" s="27" t="s">
        <v>197</v>
      </c>
      <c r="K28" s="27" t="s">
        <v>190</v>
      </c>
      <c r="L28" s="27" t="s">
        <v>191</v>
      </c>
      <c r="M28" s="27" t="str">
        <f>IFERROR(INDEX('Связь с ИСР'!$F$5:$F$29,MATCH($G28,'Связь с ИСР'!$A$5:$A$29,0)),"")</f>
        <v>В1</v>
      </c>
      <c r="N28" s="27" t="str">
        <f>IFERROR(INDEX('Связь с ИСР'!$G$5:$G$29,MATCH($G28,'Связь с ИСР'!$A$5:$A$29,0)),"")</f>
        <v>В1</v>
      </c>
      <c r="O28" s="27" t="str">
        <f t="shared" si="0"/>
        <v>в плане</v>
      </c>
      <c r="P28" s="28">
        <f t="shared" si="1"/>
        <v>1</v>
      </c>
      <c r="Q28" s="27" t="s">
        <v>198</v>
      </c>
    </row>
    <row r="29" spans="1:17" ht="49.5" customHeight="1">
      <c r="A29" s="27" t="s">
        <v>199</v>
      </c>
      <c r="B29" s="27" t="s">
        <v>134</v>
      </c>
      <c r="C29" s="27" t="s">
        <v>135</v>
      </c>
      <c r="D29" s="27" t="s">
        <v>30</v>
      </c>
      <c r="E29" s="27" t="s">
        <v>200</v>
      </c>
      <c r="F29" s="18" t="s">
        <v>4</v>
      </c>
      <c r="G29" s="27" t="s">
        <v>97</v>
      </c>
      <c r="H29" s="27"/>
      <c r="I29" s="27" t="str">
        <f>IFERROR(INDEX('Связь с ИСР'!$B$5:$B$29,MATCH($G29,'Связь с ИСР'!$A$5:$A$29,0)),"")</f>
        <v>Кабинет клиента и заявки</v>
      </c>
      <c r="J29" s="27" t="s">
        <v>98</v>
      </c>
      <c r="K29" s="27" t="s">
        <v>99</v>
      </c>
      <c r="L29" s="27" t="s">
        <v>100</v>
      </c>
      <c r="M29" s="27" t="str">
        <f>IFERROR(INDEX('Связь с ИСР'!$F$5:$F$29,MATCH($G29,'Связь с ИСР'!$A$5:$A$29,0)),"")</f>
        <v>В3</v>
      </c>
      <c r="N29" s="27" t="str">
        <f>IFERROR(INDEX('Связь с ИСР'!$G$5:$G$29,MATCH($G29,'Связь с ИСР'!$A$5:$A$29,0)),"")</f>
        <v>В4</v>
      </c>
      <c r="O29" s="27" t="str">
        <f t="shared" si="0"/>
        <v>в плане</v>
      </c>
      <c r="P29" s="28">
        <f t="shared" si="1"/>
        <v>0.16666666666666666</v>
      </c>
      <c r="Q29" s="27" t="s">
        <v>104</v>
      </c>
    </row>
    <row r="30" spans="1:17" ht="49.5" customHeight="1">
      <c r="A30" s="27" t="s">
        <v>201</v>
      </c>
      <c r="B30" s="27" t="s">
        <v>134</v>
      </c>
      <c r="C30" s="27" t="s">
        <v>135</v>
      </c>
      <c r="D30" s="27" t="s">
        <v>30</v>
      </c>
      <c r="E30" s="27" t="s">
        <v>202</v>
      </c>
      <c r="F30" s="18" t="s">
        <v>4</v>
      </c>
      <c r="G30" s="27" t="s">
        <v>97</v>
      </c>
      <c r="H30" s="27" t="s">
        <v>187</v>
      </c>
      <c r="I30" s="27" t="str">
        <f>IFERROR(INDEX('Связь с ИСР'!$B$5:$B$29,MATCH($G30,'Связь с ИСР'!$A$5:$A$29,0)),"")</f>
        <v>Кабинет клиента и заявки</v>
      </c>
      <c r="J30" s="27" t="s">
        <v>203</v>
      </c>
      <c r="K30" s="27" t="s">
        <v>204</v>
      </c>
      <c r="L30" s="27" t="s">
        <v>205</v>
      </c>
      <c r="M30" s="27" t="str">
        <f>IFERROR(INDEX('Связь с ИСР'!$F$5:$F$29,MATCH($G30,'Связь с ИСР'!$A$5:$A$29,0)),"")</f>
        <v>В3</v>
      </c>
      <c r="N30" s="27" t="str">
        <f>IFERROR(INDEX('Связь с ИСР'!$G$5:$G$29,MATCH($G30,'Связь с ИСР'!$A$5:$A$29,0)),"")</f>
        <v>В4</v>
      </c>
      <c r="O30" s="27" t="str">
        <f t="shared" si="0"/>
        <v>в плане</v>
      </c>
      <c r="P30" s="28">
        <f t="shared" si="1"/>
        <v>0.16666666666666666</v>
      </c>
      <c r="Q30" s="27" t="s">
        <v>104</v>
      </c>
    </row>
    <row r="31" spans="1:17" ht="49.5" customHeight="1">
      <c r="A31" s="27" t="s">
        <v>206</v>
      </c>
      <c r="B31" s="27" t="s">
        <v>134</v>
      </c>
      <c r="C31" s="27" t="s">
        <v>135</v>
      </c>
      <c r="D31" s="27" t="s">
        <v>30</v>
      </c>
      <c r="E31" s="27" t="s">
        <v>207</v>
      </c>
      <c r="F31" s="18" t="s">
        <v>4</v>
      </c>
      <c r="G31" s="27" t="s">
        <v>108</v>
      </c>
      <c r="H31" s="27" t="s">
        <v>97</v>
      </c>
      <c r="I31" s="27" t="str">
        <f>IFERROR(INDEX('Связь с ИСР'!$B$5:$B$29,MATCH($G31,'Связь с ИСР'!$A$5:$A$29,0)),"")</f>
        <v>Очередь и календарь жеребцов</v>
      </c>
      <c r="J31" s="27" t="s">
        <v>208</v>
      </c>
      <c r="K31" s="27" t="s">
        <v>209</v>
      </c>
      <c r="L31" s="27" t="s">
        <v>210</v>
      </c>
      <c r="M31" s="27" t="str">
        <f>IFERROR(INDEX('Связь с ИСР'!$F$5:$F$29,MATCH($G31,'Связь с ИСР'!$A$5:$A$29,0)),"")</f>
        <v>В3</v>
      </c>
      <c r="N31" s="27" t="str">
        <f>IFERROR(INDEX('Связь с ИСР'!$G$5:$G$29,MATCH($G31,'Связь с ИСР'!$A$5:$A$29,0)),"")</f>
        <v>исключён</v>
      </c>
      <c r="O31" s="27" t="str">
        <f t="shared" si="0"/>
        <v>исключена из базового плана (вариант Б)</v>
      </c>
      <c r="P31" s="28">
        <f t="shared" si="1"/>
        <v>0.5</v>
      </c>
      <c r="Q31" s="27"/>
    </row>
    <row r="32" spans="1:17" ht="49.5" customHeight="1">
      <c r="A32" s="27" t="s">
        <v>211</v>
      </c>
      <c r="B32" s="27" t="s">
        <v>134</v>
      </c>
      <c r="C32" s="27" t="s">
        <v>135</v>
      </c>
      <c r="D32" s="27" t="s">
        <v>30</v>
      </c>
      <c r="E32" s="27" t="s">
        <v>212</v>
      </c>
      <c r="F32" s="18" t="s">
        <v>4</v>
      </c>
      <c r="G32" s="27" t="s">
        <v>108</v>
      </c>
      <c r="H32" s="27"/>
      <c r="I32" s="27" t="str">
        <f>IFERROR(INDEX('Связь с ИСР'!$B$5:$B$29,MATCH($G32,'Связь с ИСР'!$A$5:$A$29,0)),"")</f>
        <v>Очередь и календарь жеребцов</v>
      </c>
      <c r="J32" s="27" t="s">
        <v>213</v>
      </c>
      <c r="K32" s="27" t="s">
        <v>209</v>
      </c>
      <c r="L32" s="27" t="s">
        <v>210</v>
      </c>
      <c r="M32" s="27" t="str">
        <f>IFERROR(INDEX('Связь с ИСР'!$F$5:$F$29,MATCH($G32,'Связь с ИСР'!$A$5:$A$29,0)),"")</f>
        <v>В3</v>
      </c>
      <c r="N32" s="27" t="str">
        <f>IFERROR(INDEX('Связь с ИСР'!$G$5:$G$29,MATCH($G32,'Связь с ИСР'!$A$5:$A$29,0)),"")</f>
        <v>исключён</v>
      </c>
      <c r="O32" s="27" t="str">
        <f t="shared" si="0"/>
        <v>исключена из базового плана (вариант Б)</v>
      </c>
      <c r="P32" s="28">
        <f t="shared" si="1"/>
        <v>0.5</v>
      </c>
      <c r="Q32" s="27"/>
    </row>
    <row r="33" spans="1:17" ht="49.5" customHeight="1">
      <c r="A33" s="27" t="s">
        <v>214</v>
      </c>
      <c r="B33" s="27" t="s">
        <v>134</v>
      </c>
      <c r="C33" s="27" t="s">
        <v>135</v>
      </c>
      <c r="D33" s="27" t="s">
        <v>31</v>
      </c>
      <c r="E33" s="27" t="s">
        <v>215</v>
      </c>
      <c r="F33" s="21" t="s">
        <v>5</v>
      </c>
      <c r="G33" s="27" t="s">
        <v>216</v>
      </c>
      <c r="H33" s="27" t="s">
        <v>108</v>
      </c>
      <c r="I33" s="27" t="str">
        <f>IFERROR(INDEX('Связь с ИСР'!$B$5:$B$29,MATCH($G33,'Связь с ИСР'!$A$5:$A$29,0)),"")</f>
        <v>Отчёты и напоминания (Could)</v>
      </c>
      <c r="J33" s="27" t="s">
        <v>217</v>
      </c>
      <c r="K33" s="27" t="s">
        <v>218</v>
      </c>
      <c r="L33" s="27" t="s">
        <v>219</v>
      </c>
      <c r="M33" s="27" t="str">
        <f>IFERROR(INDEX('Связь с ИСР'!$F$5:$F$29,MATCH($G33,'Связь с ИСР'!$A$5:$A$29,0)),"")</f>
        <v>В4</v>
      </c>
      <c r="N33" s="27" t="str">
        <f>IFERROR(INDEX('Связь с ИСР'!$G$5:$G$29,MATCH($G33,'Связь с ИСР'!$A$5:$A$29,0)),"")</f>
        <v>исключён</v>
      </c>
      <c r="O33" s="27" t="str">
        <f t="shared" si="0"/>
        <v>исключена из базового плана (вариант Б)</v>
      </c>
      <c r="P33" s="28">
        <f t="shared" si="1"/>
        <v>0.33333333333333331</v>
      </c>
      <c r="Q33" s="27"/>
    </row>
    <row r="34" spans="1:17" ht="49.5" customHeight="1">
      <c r="A34" s="27" t="s">
        <v>220</v>
      </c>
      <c r="B34" s="27" t="s">
        <v>134</v>
      </c>
      <c r="C34" s="27" t="s">
        <v>135</v>
      </c>
      <c r="D34" s="27" t="s">
        <v>31</v>
      </c>
      <c r="E34" s="27" t="s">
        <v>221</v>
      </c>
      <c r="F34" s="21" t="s">
        <v>5</v>
      </c>
      <c r="G34" s="27" t="s">
        <v>216</v>
      </c>
      <c r="H34" s="27"/>
      <c r="I34" s="27" t="str">
        <f>IFERROR(INDEX('Связь с ИСР'!$B$5:$B$29,MATCH($G34,'Связь с ИСР'!$A$5:$A$29,0)),"")</f>
        <v>Отчёты и напоминания (Could)</v>
      </c>
      <c r="J34" s="27" t="s">
        <v>222</v>
      </c>
      <c r="K34" s="27" t="s">
        <v>223</v>
      </c>
      <c r="L34" s="27"/>
      <c r="M34" s="27" t="str">
        <f>IFERROR(INDEX('Связь с ИСР'!$F$5:$F$29,MATCH($G34,'Связь с ИСР'!$A$5:$A$29,0)),"")</f>
        <v>В4</v>
      </c>
      <c r="N34" s="27" t="str">
        <f>IFERROR(INDEX('Связь с ИСР'!$G$5:$G$29,MATCH($G34,'Связь с ИСР'!$A$5:$A$29,0)),"")</f>
        <v>исключён</v>
      </c>
      <c r="O34" s="27" t="str">
        <f t="shared" si="0"/>
        <v>исключена из базового плана (вариант Б)</v>
      </c>
      <c r="P34" s="28">
        <f t="shared" si="1"/>
        <v>0.33333333333333331</v>
      </c>
      <c r="Q34" s="27"/>
    </row>
    <row r="35" spans="1:17" ht="49.5" customHeight="1">
      <c r="A35" s="27" t="s">
        <v>224</v>
      </c>
      <c r="B35" s="27" t="s">
        <v>134</v>
      </c>
      <c r="C35" s="27" t="s">
        <v>225</v>
      </c>
      <c r="D35" s="27" t="s">
        <v>55</v>
      </c>
      <c r="E35" s="27" t="s">
        <v>226</v>
      </c>
      <c r="F35" s="18" t="s">
        <v>4</v>
      </c>
      <c r="G35" s="27" t="s">
        <v>126</v>
      </c>
      <c r="H35" s="27"/>
      <c r="I35" s="27" t="str">
        <f>IFERROR(INDEX('Связь с ИСР'!$B$5:$B$29,MATCH($G35,'Связь с ИСР'!$A$5:$A$29,0)),"")</f>
        <v>Счета и платежи</v>
      </c>
      <c r="J35" s="27" t="s">
        <v>127</v>
      </c>
      <c r="K35" s="27" t="s">
        <v>227</v>
      </c>
      <c r="L35" s="27" t="s">
        <v>129</v>
      </c>
      <c r="M35" s="27" t="str">
        <f>IFERROR(INDEX('Связь с ИСР'!$F$5:$F$29,MATCH($G35,'Связь с ИСР'!$A$5:$A$29,0)),"")</f>
        <v>В4</v>
      </c>
      <c r="N35" s="27" t="str">
        <f>IFERROR(INDEX('Связь с ИСР'!$G$5:$G$29,MATCH($G35,'Связь с ИСР'!$A$5:$A$29,0)),"")</f>
        <v>исключён</v>
      </c>
      <c r="O35" s="27" t="str">
        <f t="shared" si="0"/>
        <v>исключена из базового плана (вариант Б)</v>
      </c>
      <c r="P35" s="28">
        <f t="shared" si="1"/>
        <v>0.14285714285714285</v>
      </c>
      <c r="Q35" s="27"/>
    </row>
    <row r="36" spans="1:17" ht="49.5" customHeight="1">
      <c r="A36" s="27" t="s">
        <v>228</v>
      </c>
      <c r="B36" s="27" t="s">
        <v>134</v>
      </c>
      <c r="C36" s="27" t="s">
        <v>225</v>
      </c>
      <c r="D36" s="27" t="s">
        <v>55</v>
      </c>
      <c r="E36" s="27" t="s">
        <v>229</v>
      </c>
      <c r="F36" s="18" t="s">
        <v>4</v>
      </c>
      <c r="G36" s="27" t="s">
        <v>126</v>
      </c>
      <c r="H36" s="27"/>
      <c r="I36" s="27" t="str">
        <f>IFERROR(INDEX('Связь с ИСР'!$B$5:$B$29,MATCH($G36,'Связь с ИСР'!$A$5:$A$29,0)),"")</f>
        <v>Счета и платежи</v>
      </c>
      <c r="J36" s="27" t="s">
        <v>127</v>
      </c>
      <c r="K36" s="27" t="s">
        <v>227</v>
      </c>
      <c r="L36" s="27" t="s">
        <v>129</v>
      </c>
      <c r="M36" s="27" t="str">
        <f>IFERROR(INDEX('Связь с ИСР'!$F$5:$F$29,MATCH($G36,'Связь с ИСР'!$A$5:$A$29,0)),"")</f>
        <v>В4</v>
      </c>
      <c r="N36" s="27" t="str">
        <f>IFERROR(INDEX('Связь с ИСР'!$G$5:$G$29,MATCH($G36,'Связь с ИСР'!$A$5:$A$29,0)),"")</f>
        <v>исключён</v>
      </c>
      <c r="O36" s="27" t="str">
        <f t="shared" si="0"/>
        <v>исключена из базового плана (вариант Б)</v>
      </c>
      <c r="P36" s="28">
        <f t="shared" si="1"/>
        <v>0.14285714285714285</v>
      </c>
      <c r="Q36" s="27"/>
    </row>
    <row r="37" spans="1:17" ht="49.5" customHeight="1">
      <c r="A37" s="27" t="s">
        <v>230</v>
      </c>
      <c r="B37" s="27" t="s">
        <v>134</v>
      </c>
      <c r="C37" s="27" t="s">
        <v>225</v>
      </c>
      <c r="D37" s="27" t="s">
        <v>56</v>
      </c>
      <c r="E37" s="27" t="s">
        <v>231</v>
      </c>
      <c r="F37" s="18" t="s">
        <v>4</v>
      </c>
      <c r="G37" s="27" t="s">
        <v>126</v>
      </c>
      <c r="H37" s="27"/>
      <c r="I37" s="27" t="str">
        <f>IFERROR(INDEX('Связь с ИСР'!$B$5:$B$29,MATCH($G37,'Связь с ИСР'!$A$5:$A$29,0)),"")</f>
        <v>Счета и платежи</v>
      </c>
      <c r="J37" s="27" t="s">
        <v>127</v>
      </c>
      <c r="K37" s="27" t="s">
        <v>227</v>
      </c>
      <c r="L37" s="27" t="s">
        <v>129</v>
      </c>
      <c r="M37" s="27" t="str">
        <f>IFERROR(INDEX('Связь с ИСР'!$F$5:$F$29,MATCH($G37,'Связь с ИСР'!$A$5:$A$29,0)),"")</f>
        <v>В4</v>
      </c>
      <c r="N37" s="27" t="str">
        <f>IFERROR(INDEX('Связь с ИСР'!$G$5:$G$29,MATCH($G37,'Связь с ИСР'!$A$5:$A$29,0)),"")</f>
        <v>исключён</v>
      </c>
      <c r="O37" s="27" t="str">
        <f t="shared" si="0"/>
        <v>исключена из базового плана (вариант Б)</v>
      </c>
      <c r="P37" s="28">
        <f t="shared" si="1"/>
        <v>0.14285714285714285</v>
      </c>
      <c r="Q37" s="27"/>
    </row>
    <row r="38" spans="1:17" ht="49.5" customHeight="1">
      <c r="A38" s="27" t="s">
        <v>232</v>
      </c>
      <c r="B38" s="27" t="s">
        <v>134</v>
      </c>
      <c r="C38" s="27" t="s">
        <v>225</v>
      </c>
      <c r="D38" s="27" t="s">
        <v>56</v>
      </c>
      <c r="E38" s="27" t="s">
        <v>233</v>
      </c>
      <c r="F38" s="18" t="s">
        <v>4</v>
      </c>
      <c r="G38" s="27" t="s">
        <v>126</v>
      </c>
      <c r="H38" s="27" t="s">
        <v>119</v>
      </c>
      <c r="I38" s="27" t="str">
        <f>IFERROR(INDEX('Связь с ИСР'!$B$5:$B$29,MATCH($G38,'Связь с ИСР'!$A$5:$A$29,0)),"")</f>
        <v>Счета и платежи</v>
      </c>
      <c r="J38" s="27" t="s">
        <v>132</v>
      </c>
      <c r="K38" s="27" t="s">
        <v>227</v>
      </c>
      <c r="L38" s="27" t="s">
        <v>129</v>
      </c>
      <c r="M38" s="27" t="str">
        <f>IFERROR(INDEX('Связь с ИСР'!$F$5:$F$29,MATCH($G38,'Связь с ИСР'!$A$5:$A$29,0)),"")</f>
        <v>В4</v>
      </c>
      <c r="N38" s="27" t="str">
        <f>IFERROR(INDEX('Связь с ИСР'!$G$5:$G$29,MATCH($G38,'Связь с ИСР'!$A$5:$A$29,0)),"")</f>
        <v>исключён</v>
      </c>
      <c r="O38" s="27" t="str">
        <f t="shared" si="0"/>
        <v>исключена из базового плана (вариант Б)</v>
      </c>
      <c r="P38" s="28">
        <f t="shared" si="1"/>
        <v>0.14285714285714285</v>
      </c>
      <c r="Q38" s="27"/>
    </row>
    <row r="39" spans="1:17" ht="49.5" customHeight="1">
      <c r="A39" s="27" t="s">
        <v>234</v>
      </c>
      <c r="B39" s="27" t="s">
        <v>134</v>
      </c>
      <c r="C39" s="27" t="s">
        <v>225</v>
      </c>
      <c r="D39" s="27" t="s">
        <v>55</v>
      </c>
      <c r="E39" s="27" t="s">
        <v>235</v>
      </c>
      <c r="F39" s="18" t="s">
        <v>4</v>
      </c>
      <c r="G39" s="27" t="s">
        <v>126</v>
      </c>
      <c r="H39" s="27"/>
      <c r="I39" s="27" t="str">
        <f>IFERROR(INDEX('Связь с ИСР'!$B$5:$B$29,MATCH($G39,'Связь с ИСР'!$A$5:$A$29,0)),"")</f>
        <v>Счета и платежи</v>
      </c>
      <c r="J39" s="27" t="s">
        <v>127</v>
      </c>
      <c r="K39" s="27" t="s">
        <v>227</v>
      </c>
      <c r="L39" s="27" t="s">
        <v>129</v>
      </c>
      <c r="M39" s="27" t="str">
        <f>IFERROR(INDEX('Связь с ИСР'!$F$5:$F$29,MATCH($G39,'Связь с ИСР'!$A$5:$A$29,0)),"")</f>
        <v>В4</v>
      </c>
      <c r="N39" s="27" t="str">
        <f>IFERROR(INDEX('Связь с ИСР'!$G$5:$G$29,MATCH($G39,'Связь с ИСР'!$A$5:$A$29,0)),"")</f>
        <v>исключён</v>
      </c>
      <c r="O39" s="27" t="str">
        <f t="shared" si="0"/>
        <v>исключена из базового плана (вариант Б)</v>
      </c>
      <c r="P39" s="28">
        <f t="shared" si="1"/>
        <v>0.14285714285714285</v>
      </c>
      <c r="Q39" s="27" t="s">
        <v>104</v>
      </c>
    </row>
    <row r="40" spans="1:17" ht="49.5" customHeight="1">
      <c r="A40" s="27" t="s">
        <v>236</v>
      </c>
      <c r="B40" s="27" t="s">
        <v>134</v>
      </c>
      <c r="C40" s="27" t="s">
        <v>225</v>
      </c>
      <c r="D40" s="27" t="s">
        <v>57</v>
      </c>
      <c r="E40" s="27" t="s">
        <v>237</v>
      </c>
      <c r="F40" s="21" t="s">
        <v>5</v>
      </c>
      <c r="G40" s="27" t="s">
        <v>216</v>
      </c>
      <c r="H40" s="27" t="s">
        <v>126</v>
      </c>
      <c r="I40" s="27" t="str">
        <f>IFERROR(INDEX('Связь с ИСР'!$B$5:$B$29,MATCH($G40,'Связь с ИСР'!$A$5:$A$29,0)),"")</f>
        <v>Отчёты и напоминания (Could)</v>
      </c>
      <c r="J40" s="27" t="s">
        <v>217</v>
      </c>
      <c r="K40" s="27" t="s">
        <v>218</v>
      </c>
      <c r="L40" s="27" t="s">
        <v>219</v>
      </c>
      <c r="M40" s="27" t="str">
        <f>IFERROR(INDEX('Связь с ИСР'!$F$5:$F$29,MATCH($G40,'Связь с ИСР'!$A$5:$A$29,0)),"")</f>
        <v>В4</v>
      </c>
      <c r="N40" s="27" t="str">
        <f>IFERROR(INDEX('Связь с ИСР'!$G$5:$G$29,MATCH($G40,'Связь с ИСР'!$A$5:$A$29,0)),"")</f>
        <v>исключён</v>
      </c>
      <c r="O40" s="27" t="str">
        <f t="shared" si="0"/>
        <v>исключена из базового плана (вариант Б)</v>
      </c>
      <c r="P40" s="28">
        <f t="shared" si="1"/>
        <v>0.33333333333333331</v>
      </c>
      <c r="Q40" s="27"/>
    </row>
    <row r="41" spans="1:17" ht="49.5" customHeight="1">
      <c r="A41" s="27" t="s">
        <v>238</v>
      </c>
      <c r="B41" s="27" t="s">
        <v>239</v>
      </c>
      <c r="C41" s="27" t="s">
        <v>95</v>
      </c>
      <c r="D41" s="27" t="s">
        <v>65</v>
      </c>
      <c r="E41" s="27" t="s">
        <v>240</v>
      </c>
      <c r="F41" s="23" t="s">
        <v>3</v>
      </c>
      <c r="G41" s="27" t="s">
        <v>241</v>
      </c>
      <c r="H41" s="27" t="s">
        <v>242</v>
      </c>
      <c r="I41" s="27" t="str">
        <f>IFERROR(INDEX('Связь с ИСР'!$B$5:$B$29,MATCH($G41,'Связь с ИСР'!$A$5:$A$29,0)),"")</f>
        <v>Подготовка среды и инструментов</v>
      </c>
      <c r="J41" s="27" t="s">
        <v>243</v>
      </c>
      <c r="K41" s="27"/>
      <c r="L41" s="27" t="s">
        <v>205</v>
      </c>
      <c r="M41" s="27" t="str">
        <f>IFERROR(INDEX('Связь с ИСР'!$F$5:$F$29,MATCH($G41,'Связь с ИСР'!$A$5:$A$29,0)),"")</f>
        <v>Фаза 4</v>
      </c>
      <c r="N41" s="27" t="str">
        <f>IFERROR(INDEX('Связь с ИСР'!$G$5:$G$29,MATCH($G41,'Связь с ИСР'!$A$5:$A$29,0)),"")</f>
        <v>Фаза 4</v>
      </c>
      <c r="O41" s="27" t="str">
        <f t="shared" si="0"/>
        <v>в плане</v>
      </c>
      <c r="P41" s="28">
        <f t="shared" si="1"/>
        <v>1</v>
      </c>
      <c r="Q41" s="27" t="s">
        <v>244</v>
      </c>
    </row>
    <row r="42" spans="1:17" ht="49.5" customHeight="1">
      <c r="A42" s="27" t="s">
        <v>245</v>
      </c>
      <c r="B42" s="27" t="s">
        <v>239</v>
      </c>
      <c r="C42" s="27" t="s">
        <v>95</v>
      </c>
      <c r="D42" s="27" t="s">
        <v>66</v>
      </c>
      <c r="E42" s="27" t="s">
        <v>246</v>
      </c>
      <c r="F42" s="23" t="s">
        <v>3</v>
      </c>
      <c r="G42" s="27" t="s">
        <v>247</v>
      </c>
      <c r="H42" s="27"/>
      <c r="I42" s="27" t="str">
        <f>IFERROR(INDEX('Связь с ИСР'!$B$5:$B$29,MATCH($G42,'Связь с ИСР'!$A$5:$A$29,0)),"")</f>
        <v>Проектирование пользовательского интерфейса</v>
      </c>
      <c r="J42" s="27" t="s">
        <v>248</v>
      </c>
      <c r="K42" s="27" t="s">
        <v>209</v>
      </c>
      <c r="L42" s="27" t="s">
        <v>249</v>
      </c>
      <c r="M42" s="27" t="str">
        <f>IFERROR(INDEX('Связь с ИСР'!$F$5:$F$29,MATCH($G42,'Связь с ИСР'!$A$5:$A$29,0)),"")</f>
        <v>В1</v>
      </c>
      <c r="N42" s="27" t="str">
        <f>IFERROR(INDEX('Связь с ИСР'!$G$5:$G$29,MATCH($G42,'Связь с ИСР'!$A$5:$A$29,0)),"")</f>
        <v>Фаза 4</v>
      </c>
      <c r="O42" s="27" t="str">
        <f t="shared" si="0"/>
        <v>в плане</v>
      </c>
      <c r="P42" s="28">
        <f t="shared" si="1"/>
        <v>0.5</v>
      </c>
      <c r="Q42" s="27"/>
    </row>
    <row r="43" spans="1:17" ht="49.5" customHeight="1">
      <c r="A43" s="27" t="s">
        <v>250</v>
      </c>
      <c r="B43" s="27" t="s">
        <v>239</v>
      </c>
      <c r="C43" s="27" t="s">
        <v>95</v>
      </c>
      <c r="D43" s="27" t="s">
        <v>66</v>
      </c>
      <c r="E43" s="27" t="s">
        <v>251</v>
      </c>
      <c r="F43" s="18" t="s">
        <v>4</v>
      </c>
      <c r="G43" s="27" t="s">
        <v>247</v>
      </c>
      <c r="H43" s="27"/>
      <c r="I43" s="27" t="str">
        <f>IFERROR(INDEX('Связь с ИСР'!$B$5:$B$29,MATCH($G43,'Связь с ИСР'!$A$5:$A$29,0)),"")</f>
        <v>Проектирование пользовательского интерфейса</v>
      </c>
      <c r="J43" s="27" t="s">
        <v>252</v>
      </c>
      <c r="K43" s="27" t="s">
        <v>253</v>
      </c>
      <c r="L43" s="27"/>
      <c r="M43" s="27" t="str">
        <f>IFERROR(INDEX('Связь с ИСР'!$F$5:$F$29,MATCH($G43,'Связь с ИСР'!$A$5:$A$29,0)),"")</f>
        <v>В1</v>
      </c>
      <c r="N43" s="27" t="str">
        <f>IFERROR(INDEX('Связь с ИСР'!$G$5:$G$29,MATCH($G43,'Связь с ИСР'!$A$5:$A$29,0)),"")</f>
        <v>Фаза 4</v>
      </c>
      <c r="O43" s="27" t="str">
        <f t="shared" si="0"/>
        <v>в плане</v>
      </c>
      <c r="P43" s="28">
        <f t="shared" si="1"/>
        <v>0.5</v>
      </c>
      <c r="Q43" s="27" t="s">
        <v>254</v>
      </c>
    </row>
    <row r="44" spans="1:17" ht="49.5" customHeight="1">
      <c r="A44" s="27" t="s">
        <v>255</v>
      </c>
      <c r="B44" s="27" t="s">
        <v>239</v>
      </c>
      <c r="C44" s="27" t="s">
        <v>95</v>
      </c>
      <c r="D44" s="27" t="s">
        <v>67</v>
      </c>
      <c r="E44" s="27" t="s">
        <v>256</v>
      </c>
      <c r="F44" s="23" t="s">
        <v>3</v>
      </c>
      <c r="G44" s="27" t="s">
        <v>257</v>
      </c>
      <c r="H44" s="27"/>
      <c r="I44" s="27" t="str">
        <f>IFERROR(INDEX('Связь с ИСР'!$B$5:$B$29,MATCH($G44,'Связь с ИСР'!$A$5:$A$29,0)),"")</f>
        <v>Подготовка демонстрационных данных</v>
      </c>
      <c r="J44" s="27" t="s">
        <v>258</v>
      </c>
      <c r="K44" s="27"/>
      <c r="L44" s="27" t="s">
        <v>259</v>
      </c>
      <c r="M44" s="27" t="str">
        <f>IFERROR(INDEX('Связь с ИСР'!$F$5:$F$29,MATCH($G44,'Связь с ИСР'!$A$5:$A$29,0)),"")</f>
        <v>В1</v>
      </c>
      <c r="N44" s="27" t="str">
        <f>IFERROR(INDEX('Связь с ИСР'!$G$5:$G$29,MATCH($G44,'Связь с ИСР'!$A$5:$A$29,0)),"")</f>
        <v>В1</v>
      </c>
      <c r="O44" s="27" t="str">
        <f t="shared" si="0"/>
        <v>в плане</v>
      </c>
      <c r="P44" s="28">
        <f t="shared" si="1"/>
        <v>1</v>
      </c>
      <c r="Q44" s="27"/>
    </row>
    <row r="45" spans="1:17" ht="49.5" customHeight="1">
      <c r="A45" s="27" t="s">
        <v>260</v>
      </c>
      <c r="B45" s="27" t="s">
        <v>239</v>
      </c>
      <c r="C45" s="27" t="s">
        <v>95</v>
      </c>
      <c r="D45" s="27" t="s">
        <v>68</v>
      </c>
      <c r="E45" s="27" t="s">
        <v>261</v>
      </c>
      <c r="F45" s="23" t="s">
        <v>3</v>
      </c>
      <c r="G45" s="27" t="s">
        <v>119</v>
      </c>
      <c r="H45" s="27" t="s">
        <v>242</v>
      </c>
      <c r="I45" s="27" t="str">
        <f>IFERROR(INDEX('Связь с ИСР'!$B$5:$B$29,MATCH($G45,'Связь с ИСР'!$A$5:$A$29,0)),"")</f>
        <v>Интеграция внешних сервисов (заглушки)</v>
      </c>
      <c r="J45" s="27" t="s">
        <v>262</v>
      </c>
      <c r="K45" s="27"/>
      <c r="L45" s="27" t="s">
        <v>122</v>
      </c>
      <c r="M45" s="27" t="str">
        <f>IFERROR(INDEX('Связь с ИСР'!$F$5:$F$29,MATCH($G45,'Связь с ИСР'!$A$5:$A$29,0)),"")</f>
        <v>В2–В4</v>
      </c>
      <c r="N45" s="27" t="str">
        <f>IFERROR(INDEX('Связь с ИСР'!$G$5:$G$29,MATCH($G45,'Связь с ИСР'!$A$5:$A$29,0)),"")</f>
        <v>В2</v>
      </c>
      <c r="O45" s="27" t="str">
        <f t="shared" si="0"/>
        <v>в плане</v>
      </c>
      <c r="P45" s="28">
        <f t="shared" si="1"/>
        <v>0.33333333333333331</v>
      </c>
      <c r="Q45" s="27"/>
    </row>
  </sheetData>
  <autoFilter ref="A4:Q45"/>
  <mergeCells count="1"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/>
  <cols>
    <col min="1" max="1" width="6" customWidth="1"/>
    <col min="2" max="2" width="44" customWidth="1"/>
    <col min="3" max="3" width="15" customWidth="1"/>
    <col min="4" max="5" width="12" customWidth="1"/>
    <col min="6" max="6" width="24" customWidth="1"/>
    <col min="7" max="7" width="20" customWidth="1"/>
    <col min="8" max="9" width="14" customWidth="1"/>
    <col min="10" max="10" width="13" customWidth="1"/>
    <col min="11" max="11" width="32" customWidth="1"/>
  </cols>
  <sheetData>
    <row r="1" spans="1:11" ht="17.399999999999999">
      <c r="A1" s="25" t="s">
        <v>263</v>
      </c>
    </row>
    <row r="2" spans="1:11" ht="27.75" customHeight="1">
      <c r="A2" s="9" t="s">
        <v>264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39.75" customHeight="1">
      <c r="A4" s="26" t="s">
        <v>265</v>
      </c>
      <c r="B4" s="26" t="s">
        <v>266</v>
      </c>
      <c r="C4" s="26" t="s">
        <v>267</v>
      </c>
      <c r="D4" s="26" t="s">
        <v>268</v>
      </c>
      <c r="E4" s="26" t="s">
        <v>269</v>
      </c>
      <c r="F4" s="26" t="s">
        <v>88</v>
      </c>
      <c r="G4" s="26" t="s">
        <v>89</v>
      </c>
      <c r="H4" s="26" t="s">
        <v>270</v>
      </c>
      <c r="I4" s="26" t="s">
        <v>271</v>
      </c>
      <c r="J4" s="26" t="s">
        <v>272</v>
      </c>
      <c r="K4" s="26" t="s">
        <v>273</v>
      </c>
    </row>
    <row r="5" spans="1:11">
      <c r="A5" s="27" t="s">
        <v>274</v>
      </c>
      <c r="B5" s="27" t="s">
        <v>275</v>
      </c>
      <c r="C5" s="27" t="s">
        <v>276</v>
      </c>
      <c r="D5" s="27" t="s">
        <v>3</v>
      </c>
      <c r="E5" s="29">
        <v>18.670000000000002</v>
      </c>
      <c r="F5" s="27" t="s">
        <v>277</v>
      </c>
      <c r="G5" s="27" t="s">
        <v>277</v>
      </c>
      <c r="H5" s="27">
        <f>COUNTIF(Истории!$G$5:$G$45,A5)</f>
        <v>0</v>
      </c>
      <c r="I5" s="27">
        <f>COUNTIF(Истории!$H$5:$H$45,"*"&amp;A5&amp;"*")</f>
        <v>0</v>
      </c>
      <c r="J5" s="28">
        <f>SUMIF(Истории!$G$5:$G$45,A5,Истории!$P$5:$P$45)</f>
        <v>0</v>
      </c>
      <c r="K5" s="27" t="str">
        <f t="shared" ref="K5:K29" si="0">IF(C5="непродуктовый","задачи бэклога, историй нет",IF(H5&gt;0,"истории с основным пакетом","НЕТ ИСТОРИЙ"))</f>
        <v>задачи бэклога, историй нет</v>
      </c>
    </row>
    <row r="6" spans="1:11">
      <c r="A6" s="27" t="s">
        <v>278</v>
      </c>
      <c r="B6" s="27" t="s">
        <v>279</v>
      </c>
      <c r="C6" s="27" t="s">
        <v>276</v>
      </c>
      <c r="D6" s="27" t="s">
        <v>3</v>
      </c>
      <c r="E6" s="29">
        <v>32.67</v>
      </c>
      <c r="F6" s="27" t="s">
        <v>280</v>
      </c>
      <c r="G6" s="27" t="s">
        <v>281</v>
      </c>
      <c r="H6" s="27">
        <f>COUNTIF(Истории!$G$5:$G$45,A6)</f>
        <v>0</v>
      </c>
      <c r="I6" s="27">
        <f>COUNTIF(Истории!$H$5:$H$45,"*"&amp;A6&amp;"*")</f>
        <v>0</v>
      </c>
      <c r="J6" s="28">
        <f>SUMIF(Истории!$G$5:$G$45,A6,Истории!$P$5:$P$45)</f>
        <v>0</v>
      </c>
      <c r="K6" s="27" t="str">
        <f t="shared" si="0"/>
        <v>задачи бэклога, историй нет</v>
      </c>
    </row>
    <row r="7" spans="1:11">
      <c r="A7" s="27" t="s">
        <v>282</v>
      </c>
      <c r="B7" s="27" t="s">
        <v>283</v>
      </c>
      <c r="C7" s="27" t="s">
        <v>276</v>
      </c>
      <c r="D7" s="27" t="s">
        <v>3</v>
      </c>
      <c r="E7" s="29">
        <v>61.67</v>
      </c>
      <c r="F7" s="27" t="s">
        <v>284</v>
      </c>
      <c r="G7" s="27" t="s">
        <v>284</v>
      </c>
      <c r="H7" s="27">
        <f>COUNTIF(Истории!$G$5:$G$45,A7)</f>
        <v>0</v>
      </c>
      <c r="I7" s="27">
        <f>COUNTIF(Истории!$H$5:$H$45,"*"&amp;A7&amp;"*")</f>
        <v>0</v>
      </c>
      <c r="J7" s="28">
        <f>SUMIF(Истории!$G$5:$G$45,A7,Истории!$P$5:$P$45)</f>
        <v>0</v>
      </c>
      <c r="K7" s="27" t="str">
        <f t="shared" si="0"/>
        <v>задачи бэклога, историй нет</v>
      </c>
    </row>
    <row r="8" spans="1:11">
      <c r="A8" s="27" t="s">
        <v>285</v>
      </c>
      <c r="B8" s="27" t="s">
        <v>286</v>
      </c>
      <c r="C8" s="27" t="s">
        <v>276</v>
      </c>
      <c r="D8" s="27" t="s">
        <v>3</v>
      </c>
      <c r="E8" s="29">
        <v>12.67</v>
      </c>
      <c r="F8" s="27" t="s">
        <v>287</v>
      </c>
      <c r="G8" s="27" t="s">
        <v>288</v>
      </c>
      <c r="H8" s="27">
        <f>COUNTIF(Истории!$G$5:$G$45,A8)</f>
        <v>0</v>
      </c>
      <c r="I8" s="27">
        <f>COUNTIF(Истории!$H$5:$H$45,"*"&amp;A8&amp;"*")</f>
        <v>0</v>
      </c>
      <c r="J8" s="28">
        <f>SUMIF(Истории!$G$5:$G$45,A8,Истории!$P$5:$P$45)</f>
        <v>0</v>
      </c>
      <c r="K8" s="27" t="str">
        <f t="shared" si="0"/>
        <v>задачи бэклога, историй нет</v>
      </c>
    </row>
    <row r="9" spans="1:11" ht="22.8">
      <c r="A9" s="27" t="s">
        <v>289</v>
      </c>
      <c r="B9" s="27" t="s">
        <v>290</v>
      </c>
      <c r="C9" s="27" t="s">
        <v>276</v>
      </c>
      <c r="D9" s="27" t="s">
        <v>3</v>
      </c>
      <c r="E9" s="29">
        <v>28.83</v>
      </c>
      <c r="F9" s="27" t="s">
        <v>291</v>
      </c>
      <c r="G9" s="27" t="s">
        <v>292</v>
      </c>
      <c r="H9" s="27">
        <f>COUNTIF(Истории!$G$5:$G$45,A9)</f>
        <v>0</v>
      </c>
      <c r="I9" s="27">
        <f>COUNTIF(Истории!$H$5:$H$45,"*"&amp;A9&amp;"*")</f>
        <v>0</v>
      </c>
      <c r="J9" s="28">
        <f>SUMIF(Истории!$G$5:$G$45,A9,Истории!$P$5:$P$45)</f>
        <v>0</v>
      </c>
      <c r="K9" s="27" t="str">
        <f t="shared" si="0"/>
        <v>задачи бэклога, историй нет</v>
      </c>
    </row>
    <row r="10" spans="1:11">
      <c r="A10" s="27" t="s">
        <v>242</v>
      </c>
      <c r="B10" s="27" t="s">
        <v>293</v>
      </c>
      <c r="C10" s="27" t="s">
        <v>276</v>
      </c>
      <c r="D10" s="27" t="s">
        <v>3</v>
      </c>
      <c r="E10" s="29">
        <v>31</v>
      </c>
      <c r="F10" s="27" t="s">
        <v>281</v>
      </c>
      <c r="G10" s="27" t="s">
        <v>281</v>
      </c>
      <c r="H10" s="27">
        <f>COUNTIF(Истории!$G$5:$G$45,A10)</f>
        <v>0</v>
      </c>
      <c r="I10" s="27">
        <f>COUNTIF(Истории!$H$5:$H$45,"*"&amp;A10&amp;"*")</f>
        <v>2</v>
      </c>
      <c r="J10" s="28">
        <f>SUMIF(Истории!$G$5:$G$45,A10,Истории!$P$5:$P$45)</f>
        <v>0</v>
      </c>
      <c r="K10" s="27" t="str">
        <f t="shared" si="0"/>
        <v>задачи бэклога, историй нет</v>
      </c>
    </row>
    <row r="11" spans="1:11">
      <c r="A11" s="27" t="s">
        <v>247</v>
      </c>
      <c r="B11" s="27" t="s">
        <v>294</v>
      </c>
      <c r="C11" s="27" t="s">
        <v>295</v>
      </c>
      <c r="D11" s="27" t="s">
        <v>3</v>
      </c>
      <c r="E11" s="29">
        <v>35.83</v>
      </c>
      <c r="F11" s="27" t="s">
        <v>296</v>
      </c>
      <c r="G11" s="27" t="s">
        <v>281</v>
      </c>
      <c r="H11" s="27">
        <f>COUNTIF(Истории!$G$5:$G$45,A11)</f>
        <v>2</v>
      </c>
      <c r="I11" s="27">
        <f>COUNTIF(Истории!$H$5:$H$45,"*"&amp;A11&amp;"*")</f>
        <v>0</v>
      </c>
      <c r="J11" s="28">
        <f>SUMIF(Истории!$G$5:$G$45,A11,Истории!$P$5:$P$45)</f>
        <v>1</v>
      </c>
      <c r="K11" s="27" t="str">
        <f t="shared" si="0"/>
        <v>истории с основным пакетом</v>
      </c>
    </row>
    <row r="12" spans="1:11">
      <c r="A12" s="27" t="s">
        <v>241</v>
      </c>
      <c r="B12" s="27" t="s">
        <v>297</v>
      </c>
      <c r="C12" s="27" t="s">
        <v>295</v>
      </c>
      <c r="D12" s="27" t="s">
        <v>3</v>
      </c>
      <c r="E12" s="29">
        <v>16.670000000000002</v>
      </c>
      <c r="F12" s="27" t="s">
        <v>281</v>
      </c>
      <c r="G12" s="27" t="s">
        <v>281</v>
      </c>
      <c r="H12" s="27">
        <f>COUNTIF(Истории!$G$5:$G$45,A12)</f>
        <v>1</v>
      </c>
      <c r="I12" s="27">
        <f>COUNTIF(Истории!$H$5:$H$45,"*"&amp;A12&amp;"*")</f>
        <v>0</v>
      </c>
      <c r="J12" s="28">
        <f>SUMIF(Истории!$G$5:$G$45,A12,Истории!$P$5:$P$45)</f>
        <v>1</v>
      </c>
      <c r="K12" s="27" t="str">
        <f t="shared" si="0"/>
        <v>истории с основным пакетом</v>
      </c>
    </row>
    <row r="13" spans="1:11">
      <c r="A13" s="27" t="s">
        <v>257</v>
      </c>
      <c r="B13" s="27" t="s">
        <v>298</v>
      </c>
      <c r="C13" s="27" t="s">
        <v>295</v>
      </c>
      <c r="D13" s="27" t="s">
        <v>3</v>
      </c>
      <c r="E13" s="29">
        <v>22.67</v>
      </c>
      <c r="F13" s="27" t="s">
        <v>296</v>
      </c>
      <c r="G13" s="27" t="s">
        <v>296</v>
      </c>
      <c r="H13" s="27">
        <f>COUNTIF(Истории!$G$5:$G$45,A13)</f>
        <v>1</v>
      </c>
      <c r="I13" s="27">
        <f>COUNTIF(Истории!$H$5:$H$45,"*"&amp;A13&amp;"*")</f>
        <v>0</v>
      </c>
      <c r="J13" s="28">
        <f>SUMIF(Истории!$G$5:$G$45,A13,Истории!$P$5:$P$45)</f>
        <v>1</v>
      </c>
      <c r="K13" s="27" t="str">
        <f t="shared" si="0"/>
        <v>истории с основным пакетом</v>
      </c>
    </row>
    <row r="14" spans="1:11">
      <c r="A14" s="27" t="s">
        <v>103</v>
      </c>
      <c r="B14" s="27" t="s">
        <v>299</v>
      </c>
      <c r="C14" s="27" t="s">
        <v>295</v>
      </c>
      <c r="D14" s="27" t="s">
        <v>3</v>
      </c>
      <c r="E14" s="29">
        <v>46.33</v>
      </c>
      <c r="F14" s="27" t="s">
        <v>296</v>
      </c>
      <c r="G14" s="27" t="s">
        <v>296</v>
      </c>
      <c r="H14" s="27">
        <f>COUNTIF(Истории!$G$5:$G$45,A14)</f>
        <v>3</v>
      </c>
      <c r="I14" s="27">
        <f>COUNTIF(Истории!$H$5:$H$45,"*"&amp;A14&amp;"*")</f>
        <v>3</v>
      </c>
      <c r="J14" s="28">
        <f>SUMIF(Истории!$G$5:$G$45,A14,Истории!$P$5:$P$45)</f>
        <v>1</v>
      </c>
      <c r="K14" s="27" t="str">
        <f t="shared" si="0"/>
        <v>истории с основным пакетом</v>
      </c>
    </row>
    <row r="15" spans="1:11">
      <c r="A15" s="27" t="s">
        <v>146</v>
      </c>
      <c r="B15" s="27" t="s">
        <v>300</v>
      </c>
      <c r="C15" s="27" t="s">
        <v>295</v>
      </c>
      <c r="D15" s="27" t="s">
        <v>3</v>
      </c>
      <c r="E15" s="29">
        <v>31</v>
      </c>
      <c r="F15" s="27" t="s">
        <v>296</v>
      </c>
      <c r="G15" s="27" t="s">
        <v>301</v>
      </c>
      <c r="H15" s="27">
        <f>COUNTIF(Истории!$G$5:$G$45,A15)</f>
        <v>3</v>
      </c>
      <c r="I15" s="27">
        <f>COUNTIF(Истории!$H$5:$H$45,"*"&amp;A15&amp;"*")</f>
        <v>1</v>
      </c>
      <c r="J15" s="28">
        <f>SUMIF(Истории!$G$5:$G$45,A15,Истории!$P$5:$P$45)</f>
        <v>1</v>
      </c>
      <c r="K15" s="27" t="str">
        <f t="shared" si="0"/>
        <v>истории с основным пакетом</v>
      </c>
    </row>
    <row r="16" spans="1:11">
      <c r="A16" s="27" t="s">
        <v>156</v>
      </c>
      <c r="B16" s="27" t="s">
        <v>302</v>
      </c>
      <c r="C16" s="27" t="s">
        <v>295</v>
      </c>
      <c r="D16" s="27" t="s">
        <v>3</v>
      </c>
      <c r="E16" s="29">
        <v>20.67</v>
      </c>
      <c r="F16" s="27" t="s">
        <v>301</v>
      </c>
      <c r="G16" s="27" t="s">
        <v>301</v>
      </c>
      <c r="H16" s="27">
        <f>COUNTIF(Истории!$G$5:$G$45,A16)</f>
        <v>3</v>
      </c>
      <c r="I16" s="27">
        <f>COUNTIF(Истории!$H$5:$H$45,"*"&amp;A16&amp;"*")</f>
        <v>2</v>
      </c>
      <c r="J16" s="28">
        <f>SUMIF(Истории!$G$5:$G$45,A16,Истории!$P$5:$P$45)</f>
        <v>1</v>
      </c>
      <c r="K16" s="27" t="str">
        <f t="shared" si="0"/>
        <v>истории с основным пакетом</v>
      </c>
    </row>
    <row r="17" spans="1:11">
      <c r="A17" s="27" t="s">
        <v>168</v>
      </c>
      <c r="B17" s="27" t="s">
        <v>303</v>
      </c>
      <c r="C17" s="27" t="s">
        <v>295</v>
      </c>
      <c r="D17" s="27" t="s">
        <v>3</v>
      </c>
      <c r="E17" s="29">
        <v>27</v>
      </c>
      <c r="F17" s="27" t="s">
        <v>301</v>
      </c>
      <c r="G17" s="27" t="s">
        <v>304</v>
      </c>
      <c r="H17" s="27">
        <f>COUNTIF(Истории!$G$5:$G$45,A17)</f>
        <v>1</v>
      </c>
      <c r="I17" s="27">
        <f>COUNTIF(Истории!$H$5:$H$45,"*"&amp;A17&amp;"*")</f>
        <v>1</v>
      </c>
      <c r="J17" s="28">
        <f>SUMIF(Истории!$G$5:$G$45,A17,Истории!$P$5:$P$45)</f>
        <v>1</v>
      </c>
      <c r="K17" s="27" t="str">
        <f t="shared" si="0"/>
        <v>истории с основным пакетом</v>
      </c>
    </row>
    <row r="18" spans="1:11">
      <c r="A18" s="27" t="s">
        <v>174</v>
      </c>
      <c r="B18" s="27" t="s">
        <v>305</v>
      </c>
      <c r="C18" s="27" t="s">
        <v>295</v>
      </c>
      <c r="D18" s="27" t="s">
        <v>3</v>
      </c>
      <c r="E18" s="29">
        <v>28.83</v>
      </c>
      <c r="F18" s="27" t="s">
        <v>301</v>
      </c>
      <c r="G18" s="27" t="s">
        <v>304</v>
      </c>
      <c r="H18" s="27">
        <f>COUNTIF(Истории!$G$5:$G$45,A18)</f>
        <v>1</v>
      </c>
      <c r="I18" s="27">
        <f>COUNTIF(Истории!$H$5:$H$45,"*"&amp;A18&amp;"*")</f>
        <v>1</v>
      </c>
      <c r="J18" s="28">
        <f>SUMIF(Истории!$G$5:$G$45,A18,Истории!$P$5:$P$45)</f>
        <v>1</v>
      </c>
      <c r="K18" s="27" t="str">
        <f t="shared" si="0"/>
        <v>истории с основным пакетом</v>
      </c>
    </row>
    <row r="19" spans="1:11">
      <c r="A19" s="27" t="s">
        <v>194</v>
      </c>
      <c r="B19" s="27" t="s">
        <v>306</v>
      </c>
      <c r="C19" s="27" t="s">
        <v>295</v>
      </c>
      <c r="D19" s="27" t="s">
        <v>3</v>
      </c>
      <c r="E19" s="29">
        <v>14.67</v>
      </c>
      <c r="F19" s="27" t="s">
        <v>296</v>
      </c>
      <c r="G19" s="27" t="s">
        <v>296</v>
      </c>
      <c r="H19" s="27">
        <f>COUNTIF(Истории!$G$5:$G$45,A19)</f>
        <v>1</v>
      </c>
      <c r="I19" s="27">
        <f>COUNTIF(Истории!$H$5:$H$45,"*"&amp;A19&amp;"*")</f>
        <v>2</v>
      </c>
      <c r="J19" s="28">
        <f>SUMIF(Истории!$G$5:$G$45,A19,Истории!$P$5:$P$45)</f>
        <v>1</v>
      </c>
      <c r="K19" s="27" t="str">
        <f t="shared" si="0"/>
        <v>истории с основным пакетом</v>
      </c>
    </row>
    <row r="20" spans="1:11">
      <c r="A20" s="27" t="s">
        <v>187</v>
      </c>
      <c r="B20" s="27" t="s">
        <v>307</v>
      </c>
      <c r="C20" s="27" t="s">
        <v>295</v>
      </c>
      <c r="D20" s="27" t="s">
        <v>3</v>
      </c>
      <c r="E20" s="29">
        <v>35.83</v>
      </c>
      <c r="F20" s="27" t="s">
        <v>304</v>
      </c>
      <c r="G20" s="27" t="s">
        <v>308</v>
      </c>
      <c r="H20" s="27">
        <f>COUNTIF(Истории!$G$5:$G$45,A20)</f>
        <v>2</v>
      </c>
      <c r="I20" s="27">
        <f>COUNTIF(Истории!$H$5:$H$45,"*"&amp;A20&amp;"*")</f>
        <v>1</v>
      </c>
      <c r="J20" s="28">
        <f>SUMIF(Истории!$G$5:$G$45,A20,Истории!$P$5:$P$45)</f>
        <v>1</v>
      </c>
      <c r="K20" s="27" t="str">
        <f t="shared" si="0"/>
        <v>истории с основным пакетом</v>
      </c>
    </row>
    <row r="21" spans="1:11">
      <c r="A21" s="30" t="s">
        <v>108</v>
      </c>
      <c r="B21" s="30" t="s">
        <v>309</v>
      </c>
      <c r="C21" s="30" t="s">
        <v>295</v>
      </c>
      <c r="D21" s="30" t="s">
        <v>4</v>
      </c>
      <c r="E21" s="31">
        <v>39</v>
      </c>
      <c r="F21" s="30" t="s">
        <v>304</v>
      </c>
      <c r="G21" s="30" t="s">
        <v>310</v>
      </c>
      <c r="H21" s="30">
        <f>COUNTIF(Истории!$G$5:$G$45,A21)</f>
        <v>2</v>
      </c>
      <c r="I21" s="30">
        <f>COUNTIF(Истории!$H$5:$H$45,"*"&amp;A21&amp;"*")</f>
        <v>2</v>
      </c>
      <c r="J21" s="32">
        <f>SUMIF(Истории!$G$5:$G$45,A21,Истории!$P$5:$P$45)</f>
        <v>1</v>
      </c>
      <c r="K21" s="30" t="str">
        <f t="shared" si="0"/>
        <v>истории с основным пакетом</v>
      </c>
    </row>
    <row r="22" spans="1:11">
      <c r="A22" s="27" t="s">
        <v>97</v>
      </c>
      <c r="B22" s="27" t="s">
        <v>311</v>
      </c>
      <c r="C22" s="27" t="s">
        <v>295</v>
      </c>
      <c r="D22" s="27" t="s">
        <v>4</v>
      </c>
      <c r="E22" s="29">
        <v>34.67</v>
      </c>
      <c r="F22" s="27" t="s">
        <v>304</v>
      </c>
      <c r="G22" s="27" t="s">
        <v>308</v>
      </c>
      <c r="H22" s="27">
        <f>COUNTIF(Истории!$G$5:$G$45,A22)</f>
        <v>6</v>
      </c>
      <c r="I22" s="27">
        <f>COUNTIF(Истории!$H$5:$H$45,"*"&amp;A22&amp;"*")</f>
        <v>2</v>
      </c>
      <c r="J22" s="28">
        <f>SUMIF(Истории!$G$5:$G$45,A22,Истории!$P$5:$P$45)</f>
        <v>0.99999999999999989</v>
      </c>
      <c r="K22" s="27" t="str">
        <f t="shared" si="0"/>
        <v>истории с основным пакетом</v>
      </c>
    </row>
    <row r="23" spans="1:11">
      <c r="A23" s="30" t="s">
        <v>107</v>
      </c>
      <c r="B23" s="30" t="s">
        <v>312</v>
      </c>
      <c r="C23" s="30" t="s">
        <v>295</v>
      </c>
      <c r="D23" s="30" t="s">
        <v>4</v>
      </c>
      <c r="E23" s="31">
        <v>16.670000000000002</v>
      </c>
      <c r="F23" s="30" t="s">
        <v>304</v>
      </c>
      <c r="G23" s="30" t="s">
        <v>310</v>
      </c>
      <c r="H23" s="30">
        <f>COUNTIF(Истории!$G$5:$G$45,A23)</f>
        <v>2</v>
      </c>
      <c r="I23" s="30">
        <f>COUNTIF(Истории!$H$5:$H$45,"*"&amp;A23&amp;"*")</f>
        <v>0</v>
      </c>
      <c r="J23" s="32">
        <f>SUMIF(Истории!$G$5:$G$45,A23,Истории!$P$5:$P$45)</f>
        <v>1</v>
      </c>
      <c r="K23" s="30" t="str">
        <f t="shared" si="0"/>
        <v>истории с основным пакетом</v>
      </c>
    </row>
    <row r="24" spans="1:11">
      <c r="A24" s="30" t="s">
        <v>126</v>
      </c>
      <c r="B24" s="30" t="s">
        <v>313</v>
      </c>
      <c r="C24" s="30" t="s">
        <v>295</v>
      </c>
      <c r="D24" s="30" t="s">
        <v>4</v>
      </c>
      <c r="E24" s="31">
        <v>31</v>
      </c>
      <c r="F24" s="30" t="s">
        <v>308</v>
      </c>
      <c r="G24" s="30" t="s">
        <v>310</v>
      </c>
      <c r="H24" s="30">
        <f>COUNTIF(Истории!$G$5:$G$45,A24)</f>
        <v>7</v>
      </c>
      <c r="I24" s="30">
        <f>COUNTIF(Истории!$H$5:$H$45,"*"&amp;A24&amp;"*")</f>
        <v>1</v>
      </c>
      <c r="J24" s="32">
        <f>SUMIF(Истории!$G$5:$G$45,A24,Истории!$P$5:$P$45)</f>
        <v>0.99999999999999978</v>
      </c>
      <c r="K24" s="30" t="str">
        <f t="shared" si="0"/>
        <v>истории с основным пакетом</v>
      </c>
    </row>
    <row r="25" spans="1:11">
      <c r="A25" s="30" t="s">
        <v>216</v>
      </c>
      <c r="B25" s="30" t="s">
        <v>314</v>
      </c>
      <c r="C25" s="30" t="s">
        <v>295</v>
      </c>
      <c r="D25" s="30" t="s">
        <v>5</v>
      </c>
      <c r="E25" s="31">
        <v>20.67</v>
      </c>
      <c r="F25" s="30" t="s">
        <v>308</v>
      </c>
      <c r="G25" s="30" t="s">
        <v>310</v>
      </c>
      <c r="H25" s="30">
        <f>COUNTIF(Истории!$G$5:$G$45,A25)</f>
        <v>3</v>
      </c>
      <c r="I25" s="30">
        <f>COUNTIF(Истории!$H$5:$H$45,"*"&amp;A25&amp;"*")</f>
        <v>0</v>
      </c>
      <c r="J25" s="32">
        <f>SUMIF(Истории!$G$5:$G$45,A25,Истории!$P$5:$P$45)</f>
        <v>1</v>
      </c>
      <c r="K25" s="30" t="str">
        <f t="shared" si="0"/>
        <v>истории с основным пакетом</v>
      </c>
    </row>
    <row r="26" spans="1:11">
      <c r="A26" s="27" t="s">
        <v>119</v>
      </c>
      <c r="B26" s="27" t="s">
        <v>315</v>
      </c>
      <c r="C26" s="27" t="s">
        <v>295</v>
      </c>
      <c r="D26" s="27" t="s">
        <v>316</v>
      </c>
      <c r="E26" s="29">
        <v>28.83</v>
      </c>
      <c r="F26" s="27" t="s">
        <v>317</v>
      </c>
      <c r="G26" s="27" t="s">
        <v>301</v>
      </c>
      <c r="H26" s="27">
        <f>COUNTIF(Истории!$G$5:$G$45,A26)</f>
        <v>3</v>
      </c>
      <c r="I26" s="27">
        <f>COUNTIF(Истории!$H$5:$H$45,"*"&amp;A26&amp;"*")</f>
        <v>2</v>
      </c>
      <c r="J26" s="28">
        <f>SUMIF(Истории!$G$5:$G$45,A26,Истории!$P$5:$P$45)</f>
        <v>1</v>
      </c>
      <c r="K26" s="27" t="str">
        <f t="shared" si="0"/>
        <v>истории с основным пакетом</v>
      </c>
    </row>
    <row r="27" spans="1:11">
      <c r="A27" s="27" t="s">
        <v>318</v>
      </c>
      <c r="B27" s="27" t="s">
        <v>319</v>
      </c>
      <c r="C27" s="27" t="s">
        <v>276</v>
      </c>
      <c r="D27" s="27" t="s">
        <v>3</v>
      </c>
      <c r="E27" s="29">
        <v>56.67</v>
      </c>
      <c r="F27" s="27" t="s">
        <v>320</v>
      </c>
      <c r="G27" s="27" t="s">
        <v>320</v>
      </c>
      <c r="H27" s="27">
        <f>COUNTIF(Истории!$G$5:$G$45,A27)</f>
        <v>0</v>
      </c>
      <c r="I27" s="27">
        <f>COUNTIF(Истории!$H$5:$H$45,"*"&amp;A27&amp;"*")</f>
        <v>0</v>
      </c>
      <c r="J27" s="28">
        <f>SUMIF(Истории!$G$5:$G$45,A27,Истории!$P$5:$P$45)</f>
        <v>0</v>
      </c>
      <c r="K27" s="27" t="str">
        <f t="shared" si="0"/>
        <v>задачи бэклога, историй нет</v>
      </c>
    </row>
    <row r="28" spans="1:11">
      <c r="A28" s="27" t="s">
        <v>321</v>
      </c>
      <c r="B28" s="27" t="s">
        <v>322</v>
      </c>
      <c r="C28" s="27" t="s">
        <v>276</v>
      </c>
      <c r="D28" s="27" t="s">
        <v>3</v>
      </c>
      <c r="E28" s="29">
        <v>24.67</v>
      </c>
      <c r="F28" s="27" t="s">
        <v>320</v>
      </c>
      <c r="G28" s="27" t="s">
        <v>308</v>
      </c>
      <c r="H28" s="27">
        <f>COUNTIF(Истории!$G$5:$G$45,A28)</f>
        <v>0</v>
      </c>
      <c r="I28" s="27">
        <f>COUNTIF(Истории!$H$5:$H$45,"*"&amp;A28&amp;"*")</f>
        <v>0</v>
      </c>
      <c r="J28" s="28">
        <f>SUMIF(Истории!$G$5:$G$45,A28,Истории!$P$5:$P$45)</f>
        <v>0</v>
      </c>
      <c r="K28" s="27" t="str">
        <f t="shared" si="0"/>
        <v>задачи бэклога, историй нет</v>
      </c>
    </row>
    <row r="29" spans="1:11">
      <c r="A29" s="27" t="s">
        <v>323</v>
      </c>
      <c r="B29" s="27" t="s">
        <v>324</v>
      </c>
      <c r="C29" s="27" t="s">
        <v>276</v>
      </c>
      <c r="D29" s="27" t="s">
        <v>3</v>
      </c>
      <c r="E29" s="29">
        <v>18.670000000000002</v>
      </c>
      <c r="F29" s="27" t="s">
        <v>308</v>
      </c>
      <c r="G29" s="27" t="s">
        <v>308</v>
      </c>
      <c r="H29" s="27">
        <f>COUNTIF(Истории!$G$5:$G$45,A29)</f>
        <v>0</v>
      </c>
      <c r="I29" s="27">
        <f>COUNTIF(Истории!$H$5:$H$45,"*"&amp;A29&amp;"*")</f>
        <v>0</v>
      </c>
      <c r="J29" s="28">
        <f>SUMIF(Истории!$G$5:$G$45,A29,Истории!$P$5:$P$45)</f>
        <v>0</v>
      </c>
      <c r="K29" s="27" t="str">
        <f t="shared" si="0"/>
        <v>задачи бэклога, историй нет</v>
      </c>
    </row>
    <row r="30" spans="1:11">
      <c r="B30" s="11" t="s">
        <v>325</v>
      </c>
      <c r="E30" s="33">
        <f>SUM(E5:E29)</f>
        <v>735.85999999999979</v>
      </c>
      <c r="H30" s="11">
        <f>SUM(H5:H29)</f>
        <v>41</v>
      </c>
      <c r="J30" s="33">
        <f>SUM(J5:J29)</f>
        <v>16</v>
      </c>
    </row>
    <row r="31" spans="1:11">
      <c r="B31" s="34" t="s">
        <v>326</v>
      </c>
      <c r="H31" s="34">
        <f>COUNTIF(H5:H29,"&gt;0")</f>
        <v>16</v>
      </c>
    </row>
    <row r="32" spans="1:11">
      <c r="B32" s="34" t="s">
        <v>327</v>
      </c>
      <c r="H32" s="34">
        <f>COUNTIF(H5:H29,0)</f>
        <v>9</v>
      </c>
    </row>
    <row r="33" spans="2:8">
      <c r="B33" s="34" t="s">
        <v>328</v>
      </c>
      <c r="H33" s="34">
        <f>COUNTA(Истории!$A$5:$A$45)</f>
        <v>41</v>
      </c>
    </row>
    <row r="34" spans="2:8">
      <c r="B34" s="35" t="s">
        <v>329</v>
      </c>
    </row>
  </sheetData>
  <mergeCells count="1"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>
      <selection activeCell="C6" sqref="C6"/>
    </sheetView>
  </sheetViews>
  <sheetFormatPr defaultColWidth="8.6640625" defaultRowHeight="14.4"/>
  <cols>
    <col min="1" max="1" width="130" customWidth="1"/>
  </cols>
  <sheetData>
    <row r="1" spans="1:1" ht="17.399999999999999">
      <c r="A1" s="36" t="s">
        <v>330</v>
      </c>
    </row>
    <row r="2" spans="1:1">
      <c r="A2" s="37" t="s">
        <v>331</v>
      </c>
    </row>
    <row r="3" spans="1:1" ht="48.75" customHeight="1">
      <c r="A3" s="38" t="s">
        <v>344</v>
      </c>
    </row>
    <row r="4" spans="1:1" ht="48.75" customHeight="1">
      <c r="A4" s="38" t="s">
        <v>345</v>
      </c>
    </row>
    <row r="5" spans="1:1">
      <c r="A5" s="37" t="s">
        <v>332</v>
      </c>
    </row>
    <row r="6" spans="1:1" ht="63.75" customHeight="1">
      <c r="A6" s="38" t="s">
        <v>333</v>
      </c>
    </row>
    <row r="7" spans="1:1">
      <c r="A7" s="37" t="s">
        <v>334</v>
      </c>
    </row>
    <row r="8" spans="1:1" ht="48.75" customHeight="1">
      <c r="A8" s="38" t="s">
        <v>335</v>
      </c>
    </row>
    <row r="9" spans="1:1" ht="33.75" customHeight="1">
      <c r="A9" s="38" t="s">
        <v>336</v>
      </c>
    </row>
    <row r="10" spans="1:1">
      <c r="A10" s="37" t="s">
        <v>337</v>
      </c>
    </row>
    <row r="11" spans="1:1" ht="63.75" customHeight="1">
      <c r="A11" s="38" t="s">
        <v>338</v>
      </c>
    </row>
    <row r="12" spans="1:1" ht="48.75" customHeight="1">
      <c r="A12" s="38" t="s">
        <v>339</v>
      </c>
    </row>
    <row r="13" spans="1:1" ht="33.75" customHeight="1">
      <c r="A13" s="38" t="s">
        <v>340</v>
      </c>
    </row>
    <row r="14" spans="1:1" ht="48.75" customHeight="1">
      <c r="A14" s="38" t="s">
        <v>341</v>
      </c>
    </row>
    <row r="15" spans="1:1">
      <c r="A15" s="37" t="s">
        <v>342</v>
      </c>
    </row>
    <row r="16" spans="1:1" ht="48.75" customHeight="1">
      <c r="A16" s="38" t="s">
        <v>343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Карта</vt:lpstr>
      <vt:lpstr>Истории</vt:lpstr>
      <vt:lpstr>Связь с ИСР</vt:lpstr>
      <vt:lpstr>Пояснения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 Windows</cp:lastModifiedBy>
  <cp:revision>0</cp:revision>
  <dcterms:created xsi:type="dcterms:W3CDTF">2026-10-26T22:46:00Z</dcterms:created>
  <dcterms:modified xsi:type="dcterms:W3CDTF">2026-10-28T15:03:03Z</dcterms:modified>
  <dc:language>en-US</dc:language>
</cp:coreProperties>
</file>