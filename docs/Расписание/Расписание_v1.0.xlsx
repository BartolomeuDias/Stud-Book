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Гант" sheetId="2" state="visible" r:id="rId2"/>
    <sheet xmlns:r="http://schemas.openxmlformats.org/officeDocument/2006/relationships" name="Ресурсы" sheetId="3" state="visible" r:id="rId3"/>
    <sheet xmlns:r="http://schemas.openxmlformats.org/officeDocument/2006/relationships" name="Загрузка" sheetId="4" state="visible" r:id="rId4"/>
    <sheet xmlns:r="http://schemas.openxmlformats.org/officeDocument/2006/relationships" name="Конфликты" sheetId="5" state="visible" r:id="rId5"/>
    <sheet xmlns:r="http://schemas.openxmlformats.org/officeDocument/2006/relationships" name="Вехи" sheetId="6" state="visible" r:id="rId6"/>
    <sheet xmlns:r="http://schemas.openxmlformats.org/officeDocument/2006/relationships" name="Диаграмма Ганта" sheetId="7" state="visible" r:id="rId7"/>
    <sheet xmlns:r="http://schemas.openxmlformats.org/officeDocument/2006/relationships" name="Загрузка (график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7F7F7F"/>
      <sz val="11"/>
    </font>
    <font>
      <name val="Calibri"/>
      <color rgb="00000000"/>
      <sz val="10"/>
    </font>
    <font>
      <name val="Calibri"/>
      <sz val="8"/>
    </font>
    <font>
      <name val="Calibri"/>
      <b val="1"/>
      <sz val="8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FFE69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/>
    <border>
      <right style="hair">
        <color rgb="00BFBFBF"/>
      </right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" applyAlignment="1" pivotButton="0" quotePrefix="0" xfId="0">
      <alignment vertical="center" wrapText="1"/>
    </xf>
    <xf numFmtId="0" fontId="0" fillId="6" borderId="10" pivotButton="0" quotePrefix="0" xfId="0"/>
    <xf numFmtId="0" fontId="0" fillId="6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0" fontId="0" fillId="6" borderId="11" pivotButton="0" quotePrefix="0" xfId="0"/>
    <xf numFmtId="0" fontId="0" fillId="8" borderId="9" pivotButton="0" quotePrefix="0" xfId="0"/>
    <xf numFmtId="0" fontId="0" fillId="8" borderId="11" pivotButton="0" quotePrefix="0" xfId="0"/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0" cy="872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4287500" cy="634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30" customWidth="1" min="4" max="4"/>
    <col width="8" customWidth="1" min="5" max="5"/>
    <col width="7" customWidth="1" min="6" max="6"/>
    <col width="12" customWidth="1" min="7" max="7"/>
    <col width="18" customWidth="1" min="8" max="8"/>
    <col width="12" customWidth="1" min="9" max="9"/>
    <col width="12" customWidth="1" min="10" max="10"/>
    <col width="13" customWidth="1" min="11" max="11"/>
    <col width="40" customWidth="1" min="12" max="12"/>
    <col width="10" customWidth="1" min="13" max="13"/>
    <col width="12" customWidth="1" min="14" max="14"/>
    <col width="7" customWidth="1" min="15" max="15"/>
  </cols>
  <sheetData>
    <row r="1" ht="22" customHeight="1">
      <c r="A1" s="1" t="inlineStr">
        <is>
          <t>Расписание после выравнивания ресурсов (вариант Б)</t>
        </is>
      </c>
    </row>
    <row r="2" ht="18" customHeight="1">
      <c r="A2" s="2" t="inlineStr">
        <is>
          <t>Работы с 19.10.2026. Рабочие дни: пн–пт, кроме 04.11.2026.</t>
        </is>
      </c>
    </row>
    <row r="4" ht="48" customHeight="1">
      <c r="A4" s="3" t="inlineStr">
        <is>
          <t>№</t>
        </is>
      </c>
      <c r="B4" s="3" t="inlineStr">
        <is>
          <t>Пакет работ</t>
        </is>
      </c>
      <c r="C4" s="3" t="inlineStr">
        <is>
          <t>Тип</t>
        </is>
      </c>
      <c r="D4" s="3" t="inlineStr">
        <is>
          <t>Исполнители</t>
        </is>
      </c>
      <c r="E4" s="3" t="inlineStr">
        <is>
          <t>E ост., ч</t>
        </is>
      </c>
      <c r="F4" s="3" t="inlineStr">
        <is>
          <t>D, дн</t>
        </is>
      </c>
      <c r="G4" s="3" t="inlineStr">
        <is>
          <t>Раннее начало по сети</t>
        </is>
      </c>
      <c r="H4" s="3" t="inlineStr">
        <is>
          <t>Готовы предшественницы</t>
        </is>
      </c>
      <c r="I4" s="3" t="inlineStr">
        <is>
          <t>Старт</t>
        </is>
      </c>
      <c r="J4" s="3" t="inlineStr">
        <is>
          <t>Финиш</t>
        </is>
      </c>
      <c r="K4" s="3" t="inlineStr">
        <is>
          <t>Задержка из-за ресурсов, дн</t>
        </is>
      </c>
      <c r="L4" s="3" t="inlineStr">
        <is>
          <t>Причина задержки</t>
        </is>
      </c>
      <c r="M4" s="3" t="inlineStr">
        <is>
          <t>Веха (план)</t>
        </is>
      </c>
      <c r="N4" s="3" t="inlineStr">
        <is>
          <t>Веха (устав)</t>
        </is>
      </c>
      <c r="O4" s="3" t="inlineStr">
        <is>
          <t>Крит.</t>
        </is>
      </c>
    </row>
    <row r="5" ht="30" customHeight="1">
      <c r="A5" s="4" t="inlineStr">
        <is>
          <t>1.1</t>
        </is>
      </c>
      <c r="B5" s="5" t="inlineStr">
        <is>
          <t>Инициация проекта</t>
        </is>
      </c>
      <c r="C5" s="4" t="inlineStr">
        <is>
          <t>выполнена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Фаза 2</t>
        </is>
      </c>
      <c r="O5" s="6" t="inlineStr"/>
    </row>
    <row r="6" ht="30" customHeight="1">
      <c r="A6" s="6" t="inlineStr">
        <is>
          <t>1.2</t>
        </is>
      </c>
      <c r="B6" s="7" t="inlineStr">
        <is>
          <t>Планирование проекта</t>
        </is>
      </c>
      <c r="C6" s="6" t="inlineStr">
        <is>
          <t>обычная</t>
        </is>
      </c>
      <c r="D6" s="7" t="inlineStr">
        <is>
          <t>Лопатин, Шунулин</t>
        </is>
      </c>
      <c r="E6" s="8" t="n">
        <v>13.06666666666667</v>
      </c>
      <c r="F6" s="8" t="n">
        <v>4.666666666666667</v>
      </c>
      <c r="G6" s="6" t="inlineStr">
        <is>
          <t>19.10.2026</t>
        </is>
      </c>
      <c r="H6" s="6" t="inlineStr">
        <is>
          <t>19.10.2026</t>
        </is>
      </c>
      <c r="I6" s="9" t="inlineStr">
        <is>
          <t>23.10.2026</t>
        </is>
      </c>
      <c r="J6" s="9" t="inlineStr">
        <is>
          <t>28.10.2026</t>
        </is>
      </c>
      <c r="K6" s="8" t="n">
        <v>3.787878787878788</v>
      </c>
      <c r="L6" s="7" t="inlineStr">
        <is>
          <t>Лопатин, Шунулин заняты в 2.4</t>
        </is>
      </c>
      <c r="M6" s="6" t="inlineStr">
        <is>
          <t>Фаза 4</t>
        </is>
      </c>
      <c r="N6" s="6" t="inlineStr">
        <is>
          <t>Фаза 4</t>
        </is>
      </c>
      <c r="O6" s="6" t="inlineStr"/>
    </row>
    <row r="7" ht="30" customHeight="1">
      <c r="A7" s="10" t="inlineStr">
        <is>
          <t>1.3</t>
        </is>
      </c>
      <c r="B7" s="11" t="inlineStr">
        <is>
          <t>Мониторинг и контроль</t>
        </is>
      </c>
      <c r="C7" s="6" t="inlineStr">
        <is>
          <t>гамак</t>
        </is>
      </c>
      <c r="D7" s="7" t="inlineStr">
        <is>
          <t>Лопатин</t>
        </is>
      </c>
      <c r="E7" s="8" t="n">
        <v>38.24894514767932</v>
      </c>
      <c r="F7" s="8" t="n">
        <v>49</v>
      </c>
      <c r="G7" s="6" t="inlineStr">
        <is>
          <t>—</t>
        </is>
      </c>
      <c r="H7" s="6" t="inlineStr">
        <is>
          <t>—</t>
        </is>
      </c>
      <c r="I7" s="6" t="inlineStr">
        <is>
          <t>19.10.2026</t>
        </is>
      </c>
      <c r="J7" s="6" t="inlineStr">
        <is>
          <t>25.12.2026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весь проект</t>
        </is>
      </c>
      <c r="O7" s="6" t="inlineStr"/>
    </row>
    <row r="8" ht="30" customHeight="1">
      <c r="A8" s="6" t="inlineStr">
        <is>
          <t>1.4</t>
        </is>
      </c>
      <c r="B8" s="7" t="inlineStr">
        <is>
          <t>Закрытие проекта</t>
        </is>
      </c>
      <c r="C8" s="6" t="inlineStr">
        <is>
          <t>обычная</t>
        </is>
      </c>
      <c r="D8" s="7" t="inlineStr">
        <is>
          <t>Лопатин, Шунулин</t>
        </is>
      </c>
      <c r="E8" s="8" t="n">
        <v>12.66666666666667</v>
      </c>
      <c r="F8" s="8" t="n">
        <v>3.166666666666667</v>
      </c>
      <c r="G8" s="6" t="inlineStr">
        <is>
          <t>17.12.2026</t>
        </is>
      </c>
      <c r="H8" s="6" t="inlineStr">
        <is>
          <t>21.12.2026</t>
        </is>
      </c>
      <c r="I8" s="9" t="inlineStr">
        <is>
          <t>28.12.2026</t>
        </is>
      </c>
      <c r="J8" s="9" t="inlineStr">
        <is>
          <t>30.12.2026</t>
        </is>
      </c>
      <c r="K8" s="8" t="n">
        <v>0</v>
      </c>
      <c r="L8" s="7" t="inlineStr">
        <is>
          <t>после финальной пары 26.12</t>
        </is>
      </c>
      <c r="M8" s="6" t="inlineStr">
        <is>
          <t>после В4</t>
        </is>
      </c>
      <c r="N8" s="6" t="inlineStr">
        <is>
          <t>26–31.12</t>
        </is>
      </c>
      <c r="O8" s="6" t="inlineStr"/>
    </row>
    <row r="9" ht="30" customHeight="1">
      <c r="A9" s="10" t="inlineStr">
        <is>
          <t>2.1</t>
        </is>
      </c>
      <c r="B9" s="11" t="inlineStr">
        <is>
          <t>Сбор и анализ требований</t>
        </is>
      </c>
      <c r="C9" s="6" t="inlineStr">
        <is>
          <t>гамак</t>
        </is>
      </c>
      <c r="D9" s="7" t="inlineStr">
        <is>
          <t>Паноченко</t>
        </is>
      </c>
      <c r="E9" s="8" t="n">
        <v>8.65</v>
      </c>
      <c r="F9" s="8" t="n">
        <v>49</v>
      </c>
      <c r="G9" s="6" t="inlineStr">
        <is>
          <t>—</t>
        </is>
      </c>
      <c r="H9" s="6" t="inlineStr">
        <is>
          <t>—</t>
        </is>
      </c>
      <c r="I9" s="6" t="inlineStr">
        <is>
          <t>19.10.2026</t>
        </is>
      </c>
      <c r="J9" s="6" t="inlineStr">
        <is>
          <t>25.12.2026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по итерациям</t>
        </is>
      </c>
      <c r="O9" s="6" t="inlineStr"/>
    </row>
    <row r="10" ht="30" customHeight="1">
      <c r="A10" s="12" t="inlineStr">
        <is>
          <t>2.2</t>
        </is>
      </c>
      <c r="B10" s="13" t="inlineStr">
        <is>
          <t>Проектирование архитектуры и базы данных</t>
        </is>
      </c>
      <c r="C10" s="6" t="inlineStr">
        <is>
          <t>обычная</t>
        </is>
      </c>
      <c r="D10" s="7" t="inlineStr">
        <is>
          <t>Горбов, Паноченко</t>
        </is>
      </c>
      <c r="E10" s="8" t="n">
        <v>31</v>
      </c>
      <c r="F10" s="8" t="n">
        <v>9.117647058823529</v>
      </c>
      <c r="G10" s="6" t="inlineStr">
        <is>
          <t>19.10.2026</t>
        </is>
      </c>
      <c r="H10" s="6" t="inlineStr">
        <is>
          <t>19.10.2026</t>
        </is>
      </c>
      <c r="I10" s="9" t="inlineStr">
        <is>
          <t>19.10.2026</t>
        </is>
      </c>
      <c r="J10" s="9" t="inlineStr">
        <is>
          <t>29.10.2026</t>
        </is>
      </c>
      <c r="K10" s="8" t="n">
        <v>0</v>
      </c>
      <c r="L10" s="7" t="inlineStr"/>
      <c r="M10" s="6" t="inlineStr">
        <is>
          <t>Фаза 4</t>
        </is>
      </c>
      <c r="N10" s="6" t="inlineStr">
        <is>
          <t>Фаза 4</t>
        </is>
      </c>
      <c r="O10" s="12" t="inlineStr">
        <is>
          <t>да</t>
        </is>
      </c>
    </row>
    <row r="11" ht="30" customHeight="1">
      <c r="A11" s="6" t="inlineStr">
        <is>
          <t>2.3</t>
        </is>
      </c>
      <c r="B11" s="7" t="inlineStr">
        <is>
          <t>Проектирование пользовательского интерфейса</t>
        </is>
      </c>
      <c r="C11" s="6" t="inlineStr">
        <is>
          <t>обычная</t>
        </is>
      </c>
      <c r="D11" s="7" t="inlineStr">
        <is>
          <t>Кодинцев, Нгуен</t>
        </is>
      </c>
      <c r="E11" s="8" t="n">
        <v>35.83333333333334</v>
      </c>
      <c r="F11" s="8" t="n">
        <v>8.143939393939394</v>
      </c>
      <c r="G11" s="6" t="inlineStr">
        <is>
          <t>19.10.2026</t>
        </is>
      </c>
      <c r="H11" s="6" t="inlineStr">
        <is>
          <t>19.10.2026</t>
        </is>
      </c>
      <c r="I11" s="9" t="inlineStr">
        <is>
          <t>19.10.2026</t>
        </is>
      </c>
      <c r="J11" s="9" t="inlineStr">
        <is>
          <t>28.10.2026</t>
        </is>
      </c>
      <c r="K11" s="8" t="n">
        <v>0</v>
      </c>
      <c r="L11" s="7" t="inlineStr"/>
      <c r="M11" s="6" t="inlineStr">
        <is>
          <t>Фаза 4</t>
        </is>
      </c>
      <c r="N11" s="6" t="inlineStr">
        <is>
          <t>В1</t>
        </is>
      </c>
      <c r="O11" s="6" t="inlineStr"/>
    </row>
    <row r="12" ht="30" customHeight="1">
      <c r="A12" s="6" t="inlineStr">
        <is>
          <t>2.4</t>
        </is>
      </c>
      <c r="B12" s="7" t="inlineStr">
        <is>
          <t>Подготовка среды и инструментов</t>
        </is>
      </c>
      <c r="C12" s="6" t="inlineStr">
        <is>
          <t>обычная</t>
        </is>
      </c>
      <c r="D12" s="7" t="inlineStr">
        <is>
          <t>Лопатин, Сибирко, Шунулин</t>
        </is>
      </c>
      <c r="E12" s="8" t="n">
        <v>16.66666666666667</v>
      </c>
      <c r="F12" s="8" t="n">
        <v>3.787878787878788</v>
      </c>
      <c r="G12" s="6" t="inlineStr">
        <is>
          <t>19.10.2026</t>
        </is>
      </c>
      <c r="H12" s="6" t="inlineStr">
        <is>
          <t>19.10.2026</t>
        </is>
      </c>
      <c r="I12" s="9" t="inlineStr">
        <is>
          <t>19.10.2026</t>
        </is>
      </c>
      <c r="J12" s="9" t="inlineStr">
        <is>
          <t>22.10.2026</t>
        </is>
      </c>
      <c r="K12" s="8" t="n">
        <v>0</v>
      </c>
      <c r="L12" s="7" t="inlineStr"/>
      <c r="M12" s="6" t="inlineStr">
        <is>
          <t>Фаза 4</t>
        </is>
      </c>
      <c r="N12" s="6" t="inlineStr">
        <is>
          <t>Фаза 4</t>
        </is>
      </c>
      <c r="O12" s="6" t="inlineStr"/>
    </row>
    <row r="13" ht="30" customHeight="1">
      <c r="A13" s="12" t="inlineStr">
        <is>
          <t>2.5</t>
        </is>
      </c>
      <c r="B13" s="13" t="inlineStr">
        <is>
          <t>Подготовка демонстрационных данных</t>
        </is>
      </c>
      <c r="C13" s="6" t="inlineStr">
        <is>
          <t>обычная</t>
        </is>
      </c>
      <c r="D13" s="7" t="inlineStr">
        <is>
          <t>Паноченко, Сибирко, Кодинцев, Нгуен</t>
        </is>
      </c>
      <c r="E13" s="8" t="n">
        <v>22.66666666666667</v>
      </c>
      <c r="F13" s="8" t="n">
        <v>2.905982905982906</v>
      </c>
      <c r="G13" s="6" t="inlineStr">
        <is>
          <t>30.10.2026</t>
        </is>
      </c>
      <c r="H13" s="6" t="inlineStr">
        <is>
          <t>30.10.2026</t>
        </is>
      </c>
      <c r="I13" s="9" t="inlineStr">
        <is>
          <t>30.10.2026</t>
        </is>
      </c>
      <c r="J13" s="9" t="inlineStr">
        <is>
          <t>03.11.2026</t>
        </is>
      </c>
      <c r="K13" s="8" t="n">
        <v>0</v>
      </c>
      <c r="L13" s="7" t="inlineStr"/>
      <c r="M13" s="6" t="inlineStr">
        <is>
          <t>В1</t>
        </is>
      </c>
      <c r="N13" s="6" t="inlineStr">
        <is>
          <t>В1</t>
        </is>
      </c>
      <c r="O13" s="12" t="inlineStr">
        <is>
          <t>да</t>
        </is>
      </c>
    </row>
    <row r="14" ht="30" customHeight="1">
      <c r="A14" s="12" t="inlineStr">
        <is>
          <t>3.1</t>
        </is>
      </c>
      <c r="B14" s="13" t="inlineStr">
        <is>
          <t>Реестр лошадей и карточка лошади</t>
        </is>
      </c>
      <c r="C14" s="6" t="inlineStr">
        <is>
          <t>обычная</t>
        </is>
      </c>
      <c r="D14" s="7" t="inlineStr">
        <is>
          <t>Горбов, Паноченко, Кодинцев, Нгуен</t>
        </is>
      </c>
      <c r="E14" s="8" t="n">
        <v>46.33333333333334</v>
      </c>
      <c r="F14" s="8" t="n">
        <v>5.940170940170939</v>
      </c>
      <c r="G14" s="6" t="inlineStr">
        <is>
          <t>05.11.2026</t>
        </is>
      </c>
      <c r="H14" s="6" t="inlineStr">
        <is>
          <t>05.11.2026</t>
        </is>
      </c>
      <c r="I14" s="9" t="inlineStr">
        <is>
          <t>05.11.2026</t>
        </is>
      </c>
      <c r="J14" s="9" t="inlineStr">
        <is>
          <t>12.11.2026</t>
        </is>
      </c>
      <c r="K14" s="8" t="n">
        <v>0</v>
      </c>
      <c r="L14" s="7" t="inlineStr"/>
      <c r="M14" s="6" t="inlineStr">
        <is>
          <t>В1</t>
        </is>
      </c>
      <c r="N14" s="6" t="inlineStr">
        <is>
          <t>В1</t>
        </is>
      </c>
      <c r="O14" s="12" t="inlineStr">
        <is>
          <t>да</t>
        </is>
      </c>
    </row>
    <row r="15" ht="30" customHeight="1">
      <c r="A15" s="12" t="inlineStr">
        <is>
          <t>3.2</t>
        </is>
      </c>
      <c r="B15" s="13" t="inlineStr">
        <is>
          <t>Размещение и перемещения</t>
        </is>
      </c>
      <c r="C15" s="6" t="inlineStr">
        <is>
          <t>обычная</t>
        </is>
      </c>
      <c r="D15" s="7" t="inlineStr">
        <is>
          <t>Горбов, Кодинцев</t>
        </is>
      </c>
      <c r="E15" s="8" t="n">
        <v>31</v>
      </c>
      <c r="F15" s="8" t="n">
        <v>7.75</v>
      </c>
      <c r="G15" s="6" t="inlineStr">
        <is>
          <t>13.11.2026</t>
        </is>
      </c>
      <c r="H15" s="6" t="inlineStr">
        <is>
          <t>13.11.2026</t>
        </is>
      </c>
      <c r="I15" s="9" t="inlineStr">
        <is>
          <t>13.11.2026</t>
        </is>
      </c>
      <c r="J15" s="9" t="inlineStr">
        <is>
          <t>24.11.2026</t>
        </is>
      </c>
      <c r="K15" s="8" t="n">
        <v>0</v>
      </c>
      <c r="L15" s="7" t="inlineStr"/>
      <c r="M15" s="14" t="inlineStr">
        <is>
          <t>В2</t>
        </is>
      </c>
      <c r="N15" s="6" t="inlineStr">
        <is>
          <t>В1</t>
        </is>
      </c>
      <c r="O15" s="12" t="inlineStr">
        <is>
          <t>да</t>
        </is>
      </c>
    </row>
    <row r="16" ht="30" customHeight="1">
      <c r="A16" s="6" t="inlineStr">
        <is>
          <t>3.3</t>
        </is>
      </c>
      <c r="B16" s="7" t="inlineStr">
        <is>
          <t>Ввод записей о состоянии и происшествиях</t>
        </is>
      </c>
      <c r="C16" s="6" t="inlineStr">
        <is>
          <t>обычная</t>
        </is>
      </c>
      <c r="D16" s="7" t="inlineStr">
        <is>
          <t>Паноченко, Нгуен</t>
        </is>
      </c>
      <c r="E16" s="8" t="n">
        <v>20.66666666666667</v>
      </c>
      <c r="F16" s="8" t="n">
        <v>5.438596491228071</v>
      </c>
      <c r="G16" s="6" t="inlineStr">
        <is>
          <t>13.11.2026</t>
        </is>
      </c>
      <c r="H16" s="6" t="inlineStr">
        <is>
          <t>13.11.2026</t>
        </is>
      </c>
      <c r="I16" s="9" t="inlineStr">
        <is>
          <t>13.11.2026</t>
        </is>
      </c>
      <c r="J16" s="9" t="inlineStr">
        <is>
          <t>19.11.2026</t>
        </is>
      </c>
      <c r="K16" s="8" t="n">
        <v>0</v>
      </c>
      <c r="L16" s="7" t="inlineStr"/>
      <c r="M16" s="6" t="inlineStr">
        <is>
          <t>В2</t>
        </is>
      </c>
      <c r="N16" s="6" t="inlineStr">
        <is>
          <t>В2</t>
        </is>
      </c>
      <c r="O16" s="6" t="inlineStr"/>
    </row>
    <row r="17" ht="30" customHeight="1">
      <c r="A17" s="6" t="inlineStr">
        <is>
          <t>3.4</t>
        </is>
      </c>
      <c r="B17" s="7" t="inlineStr">
        <is>
          <t>Справка «История жеребца»</t>
        </is>
      </c>
      <c r="C17" s="6" t="inlineStr">
        <is>
          <t>обычная</t>
        </is>
      </c>
      <c r="D17" s="7" t="inlineStr">
        <is>
          <t>Паноченко, Нгуен</t>
        </is>
      </c>
      <c r="E17" s="8" t="n">
        <v>27</v>
      </c>
      <c r="F17" s="8" t="n">
        <v>7.105263157894737</v>
      </c>
      <c r="G17" s="6" t="inlineStr">
        <is>
          <t>20.11.2026</t>
        </is>
      </c>
      <c r="H17" s="6" t="inlineStr">
        <is>
          <t>20.11.2026</t>
        </is>
      </c>
      <c r="I17" s="9" t="inlineStr">
        <is>
          <t>20.11.2026</t>
        </is>
      </c>
      <c r="J17" s="9" t="inlineStr">
        <is>
          <t>01.12.2026</t>
        </is>
      </c>
      <c r="K17" s="8" t="n">
        <v>0</v>
      </c>
      <c r="L17" s="7" t="inlineStr"/>
      <c r="M17" s="14" t="inlineStr">
        <is>
          <t>В3</t>
        </is>
      </c>
      <c r="N17" s="6" t="inlineStr">
        <is>
          <t>В2</t>
        </is>
      </c>
      <c r="O17" s="6" t="inlineStr"/>
    </row>
    <row r="18" ht="30" customHeight="1">
      <c r="A18" s="12" t="inlineStr">
        <is>
          <t>3.5</t>
        </is>
      </c>
      <c r="B18" s="13" t="inlineStr">
        <is>
          <t>Справка «Перемещения и контакты»</t>
        </is>
      </c>
      <c r="C18" s="6" t="inlineStr">
        <is>
          <t>обычная</t>
        </is>
      </c>
      <c r="D18" s="7" t="inlineStr">
        <is>
          <t>Горбов, Кодинцев</t>
        </is>
      </c>
      <c r="E18" s="8" t="n">
        <v>28.83333333333333</v>
      </c>
      <c r="F18" s="8" t="n">
        <v>7.208333333333333</v>
      </c>
      <c r="G18" s="6" t="inlineStr">
        <is>
          <t>25.11.2026</t>
        </is>
      </c>
      <c r="H18" s="6" t="inlineStr">
        <is>
          <t>25.11.2026</t>
        </is>
      </c>
      <c r="I18" s="9" t="inlineStr">
        <is>
          <t>25.11.2026</t>
        </is>
      </c>
      <c r="J18" s="9" t="inlineStr">
        <is>
          <t>03.12.2026</t>
        </is>
      </c>
      <c r="K18" s="8" t="n">
        <v>0</v>
      </c>
      <c r="L18" s="7" t="inlineStr"/>
      <c r="M18" s="14" t="inlineStr">
        <is>
          <t>В3</t>
        </is>
      </c>
      <c r="N18" s="6" t="inlineStr">
        <is>
          <t>В2</t>
        </is>
      </c>
      <c r="O18" s="12" t="inlineStr">
        <is>
          <t>да</t>
        </is>
      </c>
    </row>
    <row r="19" ht="30" customHeight="1">
      <c r="A19" s="6" t="inlineStr">
        <is>
          <t>4.1</t>
        </is>
      </c>
      <c r="B19" s="7" t="inlineStr">
        <is>
          <t>Формализация правил совместимости</t>
        </is>
      </c>
      <c r="C19" s="6" t="inlineStr">
        <is>
          <t>обычная</t>
        </is>
      </c>
      <c r="D19" s="7" t="inlineStr">
        <is>
          <t>Лопатин, Шунулин</t>
        </is>
      </c>
      <c r="E19" s="8" t="n">
        <v>14.66666666666667</v>
      </c>
      <c r="F19" s="8" t="n">
        <v>5.238095238095238</v>
      </c>
      <c r="G19" s="6" t="inlineStr">
        <is>
          <t>19.10.2026</t>
        </is>
      </c>
      <c r="H19" s="6" t="inlineStr">
        <is>
          <t>19.10.2026</t>
        </is>
      </c>
      <c r="I19" s="9" t="inlineStr">
        <is>
          <t>29.10.2026</t>
        </is>
      </c>
      <c r="J19" s="9" t="inlineStr">
        <is>
          <t>06.11.2026</t>
        </is>
      </c>
      <c r="K19" s="8" t="n">
        <v>8.454545454545455</v>
      </c>
      <c r="L19" s="7" t="inlineStr">
        <is>
          <t>Лопатин, Шунулин заняты в 2.4, 1.2</t>
        </is>
      </c>
      <c r="M19" s="6" t="inlineStr">
        <is>
          <t>В1</t>
        </is>
      </c>
      <c r="N19" s="6" t="inlineStr">
        <is>
          <t>В1</t>
        </is>
      </c>
      <c r="O19" s="6" t="inlineStr"/>
    </row>
    <row r="20" ht="30" customHeight="1">
      <c r="A20" s="12" t="inlineStr">
        <is>
          <t>4.2</t>
        </is>
      </c>
      <c r="B20" s="13" t="inlineStr">
        <is>
          <t>Проверка совместимости пар</t>
        </is>
      </c>
      <c r="C20" s="6" t="inlineStr">
        <is>
          <t>обычная</t>
        </is>
      </c>
      <c r="D20" s="7" t="inlineStr">
        <is>
          <t>Горбов, Кодинцев</t>
        </is>
      </c>
      <c r="E20" s="8" t="n">
        <v>35.83333333333334</v>
      </c>
      <c r="F20" s="8" t="n">
        <v>8.958333333333334</v>
      </c>
      <c r="G20" s="6" t="inlineStr">
        <is>
          <t>13.11.2026</t>
        </is>
      </c>
      <c r="H20" s="6" t="inlineStr">
        <is>
          <t>13.11.2026</t>
        </is>
      </c>
      <c r="I20" s="9" t="inlineStr">
        <is>
          <t>04.12.2026</t>
        </is>
      </c>
      <c r="J20" s="9" t="inlineStr">
        <is>
          <t>16.12.2026</t>
        </is>
      </c>
      <c r="K20" s="8" t="n">
        <v>14.95833333333334</v>
      </c>
      <c r="L20" s="7" t="inlineStr">
        <is>
          <t>Горбов, Кодинцев заняты в 3.2, 3.5</t>
        </is>
      </c>
      <c r="M20" s="14" t="inlineStr">
        <is>
          <t>В4</t>
        </is>
      </c>
      <c r="N20" s="6" t="inlineStr">
        <is>
          <t>В3</t>
        </is>
      </c>
      <c r="O20" s="12" t="inlineStr">
        <is>
          <t>да</t>
        </is>
      </c>
    </row>
    <row r="21" ht="30" customHeight="1">
      <c r="A21" s="4" t="inlineStr">
        <is>
          <t>4.3</t>
        </is>
      </c>
      <c r="B21" s="5" t="inlineStr">
        <is>
          <t>Очередь и календарь жеребцов</t>
        </is>
      </c>
      <c r="C21" s="4" t="inlineStr">
        <is>
          <t>исключён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—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В3</t>
        </is>
      </c>
      <c r="O21" s="6" t="inlineStr"/>
    </row>
    <row r="22" ht="30" customHeight="1">
      <c r="A22" s="6" t="inlineStr">
        <is>
          <t>5.1</t>
        </is>
      </c>
      <c r="B22" s="7" t="inlineStr">
        <is>
          <t>Кабинет клиента и заявки</t>
        </is>
      </c>
      <c r="C22" s="6" t="inlineStr">
        <is>
          <t>обычная</t>
        </is>
      </c>
      <c r="D22" s="7" t="inlineStr">
        <is>
          <t>Паноченко, Нгуен</t>
        </is>
      </c>
      <c r="E22" s="8" t="n">
        <v>34.66666666666666</v>
      </c>
      <c r="F22" s="8" t="n">
        <v>9.12280701754386</v>
      </c>
      <c r="G22" s="6" t="inlineStr">
        <is>
          <t>13.11.2026</t>
        </is>
      </c>
      <c r="H22" s="6" t="inlineStr">
        <is>
          <t>13.11.2026</t>
        </is>
      </c>
      <c r="I22" s="9" t="inlineStr">
        <is>
          <t>02.12.2026</t>
        </is>
      </c>
      <c r="J22" s="9" t="inlineStr">
        <is>
          <t>14.12.2026</t>
        </is>
      </c>
      <c r="K22" s="8" t="n">
        <v>12.54385964912281</v>
      </c>
      <c r="L22" s="7" t="inlineStr">
        <is>
          <t>Паноченко, Нгуен заняты в 3.3, 3.4</t>
        </is>
      </c>
      <c r="M22" s="14" t="inlineStr">
        <is>
          <t>В4</t>
        </is>
      </c>
      <c r="N22" s="6" t="inlineStr">
        <is>
          <t>В3</t>
        </is>
      </c>
      <c r="O22" s="6" t="inlineStr"/>
    </row>
    <row r="23" ht="30" customHeight="1">
      <c r="A23" s="4" t="inlineStr">
        <is>
          <t>5.2</t>
        </is>
      </c>
      <c r="B23" s="5" t="inlineStr">
        <is>
          <t>Заказ семени с доставкой</t>
        </is>
      </c>
      <c r="C23" s="4" t="inlineStr">
        <is>
          <t>исключён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inlineStr">
        <is>
          <t>—</t>
        </is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В3</t>
        </is>
      </c>
      <c r="O23" s="6" t="inlineStr"/>
    </row>
    <row r="24" ht="30" customHeight="1">
      <c r="A24" s="4" t="inlineStr">
        <is>
          <t>5.3</t>
        </is>
      </c>
      <c r="B24" s="5" t="inlineStr">
        <is>
          <t>Счета и платежи</t>
        </is>
      </c>
      <c r="C24" s="4" t="inlineStr">
        <is>
          <t>исключён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—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В4</t>
        </is>
      </c>
      <c r="O24" s="6" t="inlineStr"/>
    </row>
    <row r="25" ht="30" customHeight="1">
      <c r="A25" s="4" t="inlineStr">
        <is>
          <t>5.4</t>
        </is>
      </c>
      <c r="B25" s="5" t="inlineStr">
        <is>
          <t>Отчёты и напоминания (Could)</t>
        </is>
      </c>
      <c r="C25" s="4" t="inlineStr">
        <is>
          <t>исключён</t>
        </is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В4</t>
        </is>
      </c>
      <c r="O25" s="6" t="inlineStr"/>
    </row>
    <row r="26" ht="30" customHeight="1">
      <c r="A26" s="6" t="inlineStr">
        <is>
          <t>6.1</t>
        </is>
      </c>
      <c r="B26" s="7" t="inlineStr">
        <is>
          <t>Интеграция внешних сервисов (заглушки)</t>
        </is>
      </c>
      <c r="C26" s="6" t="inlineStr">
        <is>
          <t>обычная</t>
        </is>
      </c>
      <c r="D26" s="7" t="inlineStr">
        <is>
          <t>Лопатин, Шунулин</t>
        </is>
      </c>
      <c r="E26" s="8" t="n">
        <v>28.83333333333333</v>
      </c>
      <c r="F26" s="8" t="n">
        <v>10.29761904761905</v>
      </c>
      <c r="G26" s="6" t="inlineStr">
        <is>
          <t>30.10.2026</t>
        </is>
      </c>
      <c r="H26" s="6" t="inlineStr">
        <is>
          <t>30.10.2026</t>
        </is>
      </c>
      <c r="I26" s="9" t="inlineStr">
        <is>
          <t>09.11.2026</t>
        </is>
      </c>
      <c r="J26" s="9" t="inlineStr">
        <is>
          <t>20.11.2026</t>
        </is>
      </c>
      <c r="K26" s="8" t="n">
        <v>4.574993633817165</v>
      </c>
      <c r="L26" s="7" t="inlineStr">
        <is>
          <t>Лопатин, Шунулин заняты в 4.1</t>
        </is>
      </c>
      <c r="M26" s="6" t="inlineStr">
        <is>
          <t>В2</t>
        </is>
      </c>
      <c r="N26" s="6" t="inlineStr">
        <is>
          <t>В2–В4</t>
        </is>
      </c>
      <c r="O26" s="6" t="inlineStr"/>
    </row>
    <row r="27" ht="30" customHeight="1">
      <c r="A27" s="10" t="inlineStr">
        <is>
          <t>6.2</t>
        </is>
      </c>
      <c r="B27" s="11" t="inlineStr">
        <is>
          <t>Тестирование и исправление дефектов</t>
        </is>
      </c>
      <c r="C27" s="6" t="inlineStr">
        <is>
          <t>гамак</t>
        </is>
      </c>
      <c r="D27" s="7" t="inlineStr">
        <is>
          <t>Сибирко, Шунулин</t>
        </is>
      </c>
      <c r="E27" s="8" t="n">
        <v>56.66666666666666</v>
      </c>
      <c r="F27" s="8" t="n">
        <v>29.85683760683761</v>
      </c>
      <c r="G27" s="6" t="inlineStr">
        <is>
          <t>—</t>
        </is>
      </c>
      <c r="H27" s="6" t="inlineStr">
        <is>
          <t>—</t>
        </is>
      </c>
      <c r="I27" s="6" t="inlineStr">
        <is>
          <t>05.11.2026</t>
        </is>
      </c>
      <c r="J27" s="6" t="inlineStr">
        <is>
          <t>16.12.2026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В1–В4</t>
        </is>
      </c>
      <c r="O27" s="6" t="inlineStr"/>
    </row>
    <row r="28" ht="30" customHeight="1">
      <c r="A28" s="12" t="inlineStr">
        <is>
          <t>6.3</t>
        </is>
      </c>
      <c r="B28" s="13" t="inlineStr">
        <is>
          <t>Демонстрации и приёмка</t>
        </is>
      </c>
      <c r="C28" s="6" t="inlineStr">
        <is>
          <t>обычная</t>
        </is>
      </c>
      <c r="D28" s="7" t="inlineStr">
        <is>
          <t>Лопатин, Паноченко, Кодинцев, Нгуен, Сибирко, Шунулин, Горбов</t>
        </is>
      </c>
      <c r="E28" s="8" t="n">
        <v>24.66666666666667</v>
      </c>
      <c r="F28" s="8" t="n">
        <v>2.021857923497268</v>
      </c>
      <c r="G28" s="6" t="inlineStr">
        <is>
          <t>15.12.2026</t>
        </is>
      </c>
      <c r="H28" s="6" t="inlineStr">
        <is>
          <t>17.12.2026</t>
        </is>
      </c>
      <c r="I28" s="9" t="inlineStr">
        <is>
          <t>17.12.2026</t>
        </is>
      </c>
      <c r="J28" s="9" t="inlineStr">
        <is>
          <t>18.12.2026</t>
        </is>
      </c>
      <c r="K28" s="8" t="n">
        <v>0</v>
      </c>
      <c r="L28" s="7" t="inlineStr"/>
      <c r="M28" s="6" t="inlineStr">
        <is>
          <t>В4</t>
        </is>
      </c>
      <c r="N28" s="6" t="inlineStr">
        <is>
          <t>В4</t>
        </is>
      </c>
      <c r="O28" s="12" t="inlineStr">
        <is>
          <t>да</t>
        </is>
      </c>
    </row>
    <row r="29" ht="30" customHeight="1">
      <c r="A29" s="6" t="inlineStr">
        <is>
          <t>6.4</t>
        </is>
      </c>
      <c r="B29" s="7" t="inlineStr">
        <is>
          <t>Документация и приёмочные материалы</t>
        </is>
      </c>
      <c r="C29" s="6" t="inlineStr">
        <is>
          <t>обычная</t>
        </is>
      </c>
      <c r="D29" s="7" t="inlineStr">
        <is>
          <t>Шунулин, Лопатин</t>
        </is>
      </c>
      <c r="E29" s="8" t="n">
        <v>18.66666666666667</v>
      </c>
      <c r="F29" s="8" t="n">
        <v>6.666666666666668</v>
      </c>
      <c r="G29" s="6" t="inlineStr">
        <is>
          <t>04.12.2026</t>
        </is>
      </c>
      <c r="H29" s="6" t="inlineStr">
        <is>
          <t>04.12.2026</t>
        </is>
      </c>
      <c r="I29" s="9" t="inlineStr">
        <is>
          <t>04.12.2026</t>
        </is>
      </c>
      <c r="J29" s="9" t="inlineStr">
        <is>
          <t>14.12.2026</t>
        </is>
      </c>
      <c r="K29" s="8" t="n">
        <v>0</v>
      </c>
      <c r="L29" s="7" t="inlineStr"/>
      <c r="M29" s="6" t="inlineStr">
        <is>
          <t>В4</t>
        </is>
      </c>
      <c r="N29" s="6" t="inlineStr">
        <is>
          <t>В4</t>
        </is>
      </c>
      <c r="O29" s="6" t="inlineStr"/>
    </row>
    <row r="31">
      <c r="B31" s="15" t="inlineStr">
        <is>
          <t>Критическая цепочка с учётом ресурсов: 2.2 → 2.5 → 3.1 → 3.2 → 3.5 → 4.2 → 6.3</t>
        </is>
      </c>
    </row>
    <row r="32">
      <c r="B32" s="16" t="inlineStr">
        <is>
          <t>Жёлтым отмечены вехи позже, чем в уставе.</t>
        </is>
      </c>
    </row>
  </sheetData>
  <mergeCells count="1">
    <mergeCell ref="A2:O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33"/>
  <sheetViews>
    <sheetView showGridLines="0" zoomScale="10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8" customWidth="1" min="4" max="4"/>
    <col width="8" customWidth="1" min="5" max="5"/>
    <col width="2.9" customWidth="1" min="6" max="6"/>
    <col width="2.9" customWidth="1" min="7" max="7"/>
    <col width="2.9" customWidth="1" min="8" max="8"/>
    <col width="2.9" customWidth="1" min="9" max="9"/>
    <col width="2.9" customWidth="1" min="10" max="10"/>
    <col width="2.9" customWidth="1" min="11" max="11"/>
    <col width="2.9" customWidth="1" min="12" max="12"/>
    <col width="2.9" customWidth="1" min="13" max="13"/>
    <col width="2.9" customWidth="1" min="14" max="14"/>
    <col width="2.9" customWidth="1" min="15" max="15"/>
    <col width="2.9" customWidth="1" min="16" max="16"/>
    <col width="2.9" customWidth="1" min="17" max="17"/>
    <col width="2.9" customWidth="1" min="18" max="18"/>
    <col width="2.9" customWidth="1" min="19" max="19"/>
    <col width="2.9" customWidth="1" min="20" max="20"/>
    <col width="2.9" customWidth="1" min="21" max="21"/>
    <col width="2.9" customWidth="1" min="22" max="22"/>
    <col width="2.9" customWidth="1" min="23" max="23"/>
    <col width="2.9" customWidth="1" min="24" max="24"/>
    <col width="2.9" customWidth="1" min="25" max="25"/>
    <col width="2.9" customWidth="1" min="26" max="26"/>
    <col width="2.9" customWidth="1" min="27" max="27"/>
    <col width="2.9" customWidth="1" min="28" max="28"/>
    <col width="2.9" customWidth="1" min="29" max="29"/>
    <col width="2.9" customWidth="1" min="30" max="30"/>
    <col width="2.9" customWidth="1" min="31" max="31"/>
    <col width="2.9" customWidth="1" min="32" max="32"/>
    <col width="2.9" customWidth="1" min="33" max="33"/>
    <col width="2.9" customWidth="1" min="34" max="34"/>
    <col width="2.9" customWidth="1" min="35" max="35"/>
    <col width="2.9" customWidth="1" min="36" max="36"/>
    <col width="2.9" customWidth="1" min="37" max="37"/>
    <col width="2.9" customWidth="1" min="38" max="38"/>
    <col width="2.9" customWidth="1" min="39" max="39"/>
    <col width="2.9" customWidth="1" min="40" max="40"/>
    <col width="2.9" customWidth="1" min="41" max="41"/>
    <col width="2.9" customWidth="1" min="42" max="42"/>
    <col width="2.9" customWidth="1" min="43" max="43"/>
    <col width="2.9" customWidth="1" min="44" max="44"/>
    <col width="2.9" customWidth="1" min="45" max="45"/>
    <col width="2.9" customWidth="1" min="46" max="46"/>
    <col width="2.9" customWidth="1" min="47" max="47"/>
    <col width="2.9" customWidth="1" min="48" max="48"/>
    <col width="2.9" customWidth="1" min="49" max="49"/>
    <col width="2.9" customWidth="1" min="50" max="50"/>
    <col width="2.9" customWidth="1" min="51" max="51"/>
    <col width="2.9" customWidth="1" min="52" max="52"/>
    <col width="2.9" customWidth="1" min="53" max="53"/>
    <col width="2.9" customWidth="1" min="54" max="54"/>
    <col width="2.9" customWidth="1" min="55" max="55"/>
    <col width="2.9" customWidth="1" min="56" max="56"/>
    <col width="2.9" customWidth="1" min="57" max="57"/>
    <col width="2.9" customWidth="1" min="58" max="58"/>
  </cols>
  <sheetData>
    <row r="1" ht="22" customHeight="1">
      <c r="A1" s="1" t="inlineStr">
        <is>
          <t>Диаграмма Ганта (вариант Б), по рабочим дням</t>
        </is>
      </c>
    </row>
    <row r="2" ht="18" customHeight="1">
      <c r="A2" s="2" t="inlineStr">
        <is>
          <t>Красный — критическая цепочка, тёмно-серый — остальные работы, светло-серый — гамаки, жёлтый — запас.</t>
        </is>
      </c>
    </row>
    <row r="4" ht="18" customHeight="1">
      <c r="A4" s="3" t="inlineStr">
        <is>
          <t>№</t>
        </is>
      </c>
      <c r="B4" s="3" t="inlineStr">
        <is>
          <t>Пакет работ</t>
        </is>
      </c>
      <c r="C4" s="3" t="inlineStr">
        <is>
          <t>Исполнители</t>
        </is>
      </c>
      <c r="D4" s="3" t="inlineStr">
        <is>
          <t>Старт</t>
        </is>
      </c>
      <c r="E4" s="3" t="inlineStr">
        <is>
          <t>Финиш</t>
        </is>
      </c>
      <c r="F4" s="3" t="inlineStr">
        <is>
          <t>19.10</t>
        </is>
      </c>
      <c r="G4" s="17" t="n"/>
      <c r="H4" s="17" t="n"/>
      <c r="I4" s="17" t="n"/>
      <c r="J4" s="18" t="n"/>
      <c r="K4" s="3" t="inlineStr">
        <is>
          <t>26.10</t>
        </is>
      </c>
      <c r="L4" s="17" t="n"/>
      <c r="M4" s="17" t="n"/>
      <c r="N4" s="17" t="n"/>
      <c r="O4" s="18" t="n"/>
      <c r="P4" s="3" t="inlineStr">
        <is>
          <t>02.11</t>
        </is>
      </c>
      <c r="Q4" s="17" t="n"/>
      <c r="R4" s="17" t="n"/>
      <c r="S4" s="18" t="n"/>
      <c r="T4" s="3" t="inlineStr">
        <is>
          <t>09.11</t>
        </is>
      </c>
      <c r="U4" s="17" t="n"/>
      <c r="V4" s="17" t="n"/>
      <c r="W4" s="17" t="n"/>
      <c r="X4" s="18" t="n"/>
      <c r="Y4" s="3" t="inlineStr">
        <is>
          <t>16.11</t>
        </is>
      </c>
      <c r="Z4" s="17" t="n"/>
      <c r="AA4" s="17" t="n"/>
      <c r="AB4" s="17" t="n"/>
      <c r="AC4" s="18" t="n"/>
      <c r="AD4" s="3" t="inlineStr">
        <is>
          <t>23.11</t>
        </is>
      </c>
      <c r="AE4" s="17" t="n"/>
      <c r="AF4" s="17" t="n"/>
      <c r="AG4" s="17" t="n"/>
      <c r="AH4" s="18" t="n"/>
      <c r="AI4" s="3" t="inlineStr">
        <is>
          <t>30.11</t>
        </is>
      </c>
      <c r="AJ4" s="17" t="n"/>
      <c r="AK4" s="17" t="n"/>
      <c r="AL4" s="17" t="n"/>
      <c r="AM4" s="18" t="n"/>
      <c r="AN4" s="3" t="inlineStr">
        <is>
          <t>07.12</t>
        </is>
      </c>
      <c r="AO4" s="17" t="n"/>
      <c r="AP4" s="17" t="n"/>
      <c r="AQ4" s="17" t="n"/>
      <c r="AR4" s="18" t="n"/>
      <c r="AS4" s="3" t="inlineStr">
        <is>
          <t>14.12</t>
        </is>
      </c>
      <c r="AT4" s="17" t="n"/>
      <c r="AU4" s="17" t="n"/>
      <c r="AV4" s="17" t="n"/>
      <c r="AW4" s="18" t="n"/>
      <c r="AX4" s="3" t="inlineStr">
        <is>
          <t>21.12</t>
        </is>
      </c>
      <c r="AY4" s="17" t="n"/>
      <c r="AZ4" s="17" t="n"/>
      <c r="BA4" s="17" t="n"/>
      <c r="BB4" s="18" t="n"/>
      <c r="BC4" s="3" t="inlineStr">
        <is>
          <t>28.12</t>
        </is>
      </c>
      <c r="BD4" s="17" t="n"/>
      <c r="BE4" s="17" t="n"/>
      <c r="BF4" s="18" t="n"/>
    </row>
    <row r="5">
      <c r="A5" s="19" t="n"/>
      <c r="B5" s="19" t="n"/>
      <c r="C5" s="19" t="n"/>
      <c r="D5" s="19" t="n"/>
      <c r="E5" s="19" t="n"/>
      <c r="F5" s="20" t="n">
        <v>19</v>
      </c>
      <c r="G5" s="20" t="n">
        <v>20</v>
      </c>
      <c r="H5" s="20" t="n">
        <v>21</v>
      </c>
      <c r="I5" s="20" t="n">
        <v>22</v>
      </c>
      <c r="J5" s="20" t="n">
        <v>23</v>
      </c>
      <c r="K5" s="20" t="n">
        <v>26</v>
      </c>
      <c r="L5" s="20" t="n">
        <v>27</v>
      </c>
      <c r="M5" s="20" t="n">
        <v>28</v>
      </c>
      <c r="N5" s="20" t="n">
        <v>29</v>
      </c>
      <c r="O5" s="20" t="n">
        <v>30</v>
      </c>
      <c r="P5" s="20" t="n">
        <v>2</v>
      </c>
      <c r="Q5" s="20" t="n">
        <v>3</v>
      </c>
      <c r="R5" s="20" t="n">
        <v>5</v>
      </c>
      <c r="S5" s="20" t="n">
        <v>6</v>
      </c>
      <c r="T5" s="20" t="n">
        <v>9</v>
      </c>
      <c r="U5" s="20" t="n">
        <v>10</v>
      </c>
      <c r="V5" s="20" t="n">
        <v>11</v>
      </c>
      <c r="W5" s="20" t="n">
        <v>12</v>
      </c>
      <c r="X5" s="20" t="n">
        <v>13</v>
      </c>
      <c r="Y5" s="20" t="n">
        <v>16</v>
      </c>
      <c r="Z5" s="20" t="n">
        <v>17</v>
      </c>
      <c r="AA5" s="20" t="n">
        <v>18</v>
      </c>
      <c r="AB5" s="20" t="n">
        <v>19</v>
      </c>
      <c r="AC5" s="20" t="n">
        <v>20</v>
      </c>
      <c r="AD5" s="20" t="n">
        <v>23</v>
      </c>
      <c r="AE5" s="20" t="n">
        <v>24</v>
      </c>
      <c r="AF5" s="20" t="n">
        <v>25</v>
      </c>
      <c r="AG5" s="20" t="n">
        <v>26</v>
      </c>
      <c r="AH5" s="20" t="n">
        <v>27</v>
      </c>
      <c r="AI5" s="20" t="n">
        <v>30</v>
      </c>
      <c r="AJ5" s="20" t="n">
        <v>1</v>
      </c>
      <c r="AK5" s="20" t="n">
        <v>2</v>
      </c>
      <c r="AL5" s="20" t="n">
        <v>3</v>
      </c>
      <c r="AM5" s="20" t="n">
        <v>4</v>
      </c>
      <c r="AN5" s="20" t="n">
        <v>7</v>
      </c>
      <c r="AO5" s="20" t="n">
        <v>8</v>
      </c>
      <c r="AP5" s="20" t="n">
        <v>9</v>
      </c>
      <c r="AQ5" s="20" t="n">
        <v>10</v>
      </c>
      <c r="AR5" s="20" t="n">
        <v>11</v>
      </c>
      <c r="AS5" s="20" t="n">
        <v>14</v>
      </c>
      <c r="AT5" s="20" t="n">
        <v>15</v>
      </c>
      <c r="AU5" s="20" t="n">
        <v>16</v>
      </c>
      <c r="AV5" s="20" t="n">
        <v>17</v>
      </c>
      <c r="AW5" s="20" t="n">
        <v>18</v>
      </c>
      <c r="AX5" s="20" t="n">
        <v>21</v>
      </c>
      <c r="AY5" s="20" t="n">
        <v>22</v>
      </c>
      <c r="AZ5" s="20" t="n">
        <v>23</v>
      </c>
      <c r="BA5" s="20" t="n">
        <v>24</v>
      </c>
      <c r="BB5" s="20" t="n">
        <v>25</v>
      </c>
      <c r="BC5" s="20" t="n">
        <v>28</v>
      </c>
      <c r="BD5" s="20" t="n">
        <v>29</v>
      </c>
      <c r="BE5" s="20" t="n">
        <v>30</v>
      </c>
      <c r="BF5" s="20" t="n">
        <v>31</v>
      </c>
    </row>
    <row r="6" ht="14" customHeight="1">
      <c r="A6" s="21" t="n"/>
      <c r="B6" s="21" t="n"/>
      <c r="C6" s="21" t="n"/>
      <c r="D6" s="21" t="n"/>
      <c r="E6" s="21" t="n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>
        <is>
          <t>Фаза 4</t>
        </is>
      </c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>
        <is>
          <t>В1</t>
        </is>
      </c>
      <c r="Y6" s="22" t="inlineStr"/>
      <c r="Z6" s="22" t="inlineStr"/>
      <c r="AA6" s="22" t="inlineStr"/>
      <c r="AB6" s="22" t="inlineStr"/>
      <c r="AC6" s="22" t="inlineStr"/>
      <c r="AD6" s="22" t="inlineStr"/>
      <c r="AE6" s="22" t="inlineStr"/>
      <c r="AF6" s="22" t="inlineStr"/>
      <c r="AG6" s="22" t="inlineStr"/>
      <c r="AH6" s="22" t="inlineStr">
        <is>
          <t>В2</t>
        </is>
      </c>
      <c r="AI6" s="22" t="inlineStr"/>
      <c r="AJ6" s="22" t="inlineStr"/>
      <c r="AK6" s="22" t="inlineStr"/>
      <c r="AL6" s="22" t="inlineStr"/>
      <c r="AM6" s="22" t="inlineStr"/>
      <c r="AN6" s="22" t="inlineStr"/>
      <c r="AO6" s="22" t="inlineStr"/>
      <c r="AP6" s="22" t="inlineStr"/>
      <c r="AQ6" s="22" t="inlineStr"/>
      <c r="AR6" s="22" t="inlineStr">
        <is>
          <t>В3</t>
        </is>
      </c>
      <c r="AS6" s="22" t="inlineStr"/>
      <c r="AT6" s="22" t="inlineStr"/>
      <c r="AU6" s="22" t="inlineStr"/>
      <c r="AV6" s="22" t="inlineStr"/>
      <c r="AW6" s="22" t="inlineStr"/>
      <c r="AX6" s="22" t="inlineStr"/>
      <c r="AY6" s="22" t="inlineStr"/>
      <c r="AZ6" s="22" t="inlineStr"/>
      <c r="BA6" s="22" t="inlineStr"/>
      <c r="BB6" s="22" t="inlineStr">
        <is>
          <t>В4</t>
        </is>
      </c>
      <c r="BC6" s="22" t="inlineStr"/>
      <c r="BD6" s="22" t="inlineStr"/>
      <c r="BE6" s="22" t="inlineStr"/>
      <c r="BF6" s="22" t="inlineStr"/>
    </row>
    <row r="7" ht="16" customHeight="1">
      <c r="A7" s="4" t="inlineStr">
        <is>
          <t>1.1</t>
        </is>
      </c>
      <c r="B7" s="5" t="inlineStr">
        <is>
          <t>Инициация проекта</t>
        </is>
      </c>
      <c r="C7" s="5" t="inlineStr">
        <is>
          <t>выполнена</t>
        </is>
      </c>
      <c r="D7" s="4" t="inlineStr">
        <is>
          <t>—</t>
        </is>
      </c>
      <c r="E7" s="4" t="inlineStr">
        <is>
          <t>—</t>
        </is>
      </c>
      <c r="F7" s="23" t="n"/>
      <c r="G7" s="23" t="n"/>
      <c r="H7" s="23" t="n"/>
      <c r="I7" s="23" t="n"/>
      <c r="J7" s="24" t="n"/>
      <c r="K7" s="23" t="n"/>
      <c r="L7" s="23" t="n"/>
      <c r="M7" s="23" t="n"/>
      <c r="N7" s="23" t="n"/>
      <c r="O7" s="25" t="n"/>
      <c r="P7" s="23" t="n"/>
      <c r="Q7" s="23" t="n"/>
      <c r="R7" s="23" t="n"/>
      <c r="S7" s="24" t="n"/>
      <c r="T7" s="23" t="n"/>
      <c r="U7" s="23" t="n"/>
      <c r="V7" s="23" t="n"/>
      <c r="W7" s="23" t="n"/>
      <c r="X7" s="25" t="n"/>
      <c r="Y7" s="23" t="n"/>
      <c r="Z7" s="23" t="n"/>
      <c r="AA7" s="23" t="n"/>
      <c r="AB7" s="23" t="n"/>
      <c r="AC7" s="24" t="n"/>
      <c r="AD7" s="23" t="n"/>
      <c r="AE7" s="23" t="n"/>
      <c r="AF7" s="23" t="n"/>
      <c r="AG7" s="23" t="n"/>
      <c r="AH7" s="25" t="n"/>
      <c r="AI7" s="23" t="n"/>
      <c r="AJ7" s="23" t="n"/>
      <c r="AK7" s="23" t="n"/>
      <c r="AL7" s="23" t="n"/>
      <c r="AM7" s="24" t="n"/>
      <c r="AN7" s="23" t="n"/>
      <c r="AO7" s="23" t="n"/>
      <c r="AP7" s="23" t="n"/>
      <c r="AQ7" s="23" t="n"/>
      <c r="AR7" s="25" t="n"/>
      <c r="AS7" s="23" t="n"/>
      <c r="AT7" s="23" t="n"/>
      <c r="AU7" s="23" t="n"/>
      <c r="AV7" s="23" t="n"/>
      <c r="AW7" s="24" t="n"/>
      <c r="AX7" s="23" t="n"/>
      <c r="AY7" s="23" t="n"/>
      <c r="AZ7" s="23" t="n"/>
      <c r="BA7" s="23" t="n"/>
      <c r="BB7" s="25" t="n"/>
      <c r="BC7" s="23" t="n"/>
      <c r="BD7" s="23" t="n"/>
      <c r="BE7" s="23" t="n"/>
      <c r="BF7" s="23" t="n"/>
    </row>
    <row r="8" ht="16" customHeight="1">
      <c r="A8" s="6" t="inlineStr">
        <is>
          <t>1.2</t>
        </is>
      </c>
      <c r="B8" s="7" t="inlineStr">
        <is>
          <t>Планирование проекта</t>
        </is>
      </c>
      <c r="C8" s="26" t="inlineStr">
        <is>
          <t>Лопатин, Шунулин</t>
        </is>
      </c>
      <c r="D8" s="6" t="inlineStr">
        <is>
          <t>23.10</t>
        </is>
      </c>
      <c r="E8" s="6" t="inlineStr">
        <is>
          <t>28.10</t>
        </is>
      </c>
      <c r="F8" s="23" t="n"/>
      <c r="G8" s="23" t="n"/>
      <c r="H8" s="23" t="n"/>
      <c r="I8" s="23" t="n"/>
      <c r="J8" s="27" t="n"/>
      <c r="K8" s="28" t="n"/>
      <c r="L8" s="28" t="n"/>
      <c r="M8" s="28" t="n"/>
      <c r="N8" s="23" t="n"/>
      <c r="O8" s="25" t="n"/>
      <c r="P8" s="23" t="n"/>
      <c r="Q8" s="23" t="n"/>
      <c r="R8" s="23" t="n"/>
      <c r="S8" s="24" t="n"/>
      <c r="T8" s="23" t="n"/>
      <c r="U8" s="23" t="n"/>
      <c r="V8" s="23" t="n"/>
      <c r="W8" s="23" t="n"/>
      <c r="X8" s="25" t="n"/>
      <c r="Y8" s="23" t="n"/>
      <c r="Z8" s="23" t="n"/>
      <c r="AA8" s="23" t="n"/>
      <c r="AB8" s="23" t="n"/>
      <c r="AC8" s="24" t="n"/>
      <c r="AD8" s="23" t="n"/>
      <c r="AE8" s="23" t="n"/>
      <c r="AF8" s="23" t="n"/>
      <c r="AG8" s="23" t="n"/>
      <c r="AH8" s="25" t="n"/>
      <c r="AI8" s="23" t="n"/>
      <c r="AJ8" s="23" t="n"/>
      <c r="AK8" s="23" t="n"/>
      <c r="AL8" s="23" t="n"/>
      <c r="AM8" s="24" t="n"/>
      <c r="AN8" s="23" t="n"/>
      <c r="AO8" s="23" t="n"/>
      <c r="AP8" s="23" t="n"/>
      <c r="AQ8" s="23" t="n"/>
      <c r="AR8" s="25" t="n"/>
      <c r="AS8" s="23" t="n"/>
      <c r="AT8" s="23" t="n"/>
      <c r="AU8" s="23" t="n"/>
      <c r="AV8" s="23" t="n"/>
      <c r="AW8" s="24" t="n"/>
      <c r="AX8" s="23" t="n"/>
      <c r="AY8" s="23" t="n"/>
      <c r="AZ8" s="23" t="n"/>
      <c r="BA8" s="23" t="n"/>
      <c r="BB8" s="25" t="n"/>
      <c r="BC8" s="23" t="n"/>
      <c r="BD8" s="23" t="n"/>
      <c r="BE8" s="23" t="n"/>
      <c r="BF8" s="23" t="n"/>
    </row>
    <row r="9" ht="16" customHeight="1">
      <c r="A9" s="6" t="inlineStr">
        <is>
          <t>1.3</t>
        </is>
      </c>
      <c r="B9" s="7" t="inlineStr">
        <is>
          <t>Мониторинг и контроль</t>
        </is>
      </c>
      <c r="C9" s="26" t="inlineStr">
        <is>
          <t>Лопатин</t>
        </is>
      </c>
      <c r="D9" s="6" t="inlineStr">
        <is>
          <t>19.10</t>
        </is>
      </c>
      <c r="E9" s="6" t="inlineStr">
        <is>
          <t>25.12</t>
        </is>
      </c>
      <c r="F9" s="29" t="n"/>
      <c r="G9" s="29" t="n"/>
      <c r="H9" s="29" t="n"/>
      <c r="I9" s="29" t="n"/>
      <c r="J9" s="30" t="n"/>
      <c r="K9" s="29" t="n"/>
      <c r="L9" s="29" t="n"/>
      <c r="M9" s="29" t="n"/>
      <c r="N9" s="29" t="n"/>
      <c r="O9" s="31" t="n"/>
      <c r="P9" s="29" t="n"/>
      <c r="Q9" s="29" t="n"/>
      <c r="R9" s="29" t="n"/>
      <c r="S9" s="30" t="n"/>
      <c r="T9" s="29" t="n"/>
      <c r="U9" s="29" t="n"/>
      <c r="V9" s="29" t="n"/>
      <c r="W9" s="29" t="n"/>
      <c r="X9" s="31" t="n"/>
      <c r="Y9" s="29" t="n"/>
      <c r="Z9" s="29" t="n"/>
      <c r="AA9" s="29" t="n"/>
      <c r="AB9" s="29" t="n"/>
      <c r="AC9" s="30" t="n"/>
      <c r="AD9" s="29" t="n"/>
      <c r="AE9" s="29" t="n"/>
      <c r="AF9" s="29" t="n"/>
      <c r="AG9" s="29" t="n"/>
      <c r="AH9" s="31" t="n"/>
      <c r="AI9" s="29" t="n"/>
      <c r="AJ9" s="29" t="n"/>
      <c r="AK9" s="29" t="n"/>
      <c r="AL9" s="29" t="n"/>
      <c r="AM9" s="30" t="n"/>
      <c r="AN9" s="29" t="n"/>
      <c r="AO9" s="29" t="n"/>
      <c r="AP9" s="29" t="n"/>
      <c r="AQ9" s="29" t="n"/>
      <c r="AR9" s="31" t="n"/>
      <c r="AS9" s="29" t="n"/>
      <c r="AT9" s="29" t="n"/>
      <c r="AU9" s="29" t="n"/>
      <c r="AV9" s="29" t="n"/>
      <c r="AW9" s="30" t="n"/>
      <c r="AX9" s="29" t="n"/>
      <c r="AY9" s="29" t="n"/>
      <c r="AZ9" s="29" t="n"/>
      <c r="BA9" s="29" t="n"/>
      <c r="BB9" s="31" t="n"/>
      <c r="BC9" s="23" t="n"/>
      <c r="BD9" s="23" t="n"/>
      <c r="BE9" s="23" t="n"/>
      <c r="BF9" s="23" t="n"/>
    </row>
    <row r="10" ht="16" customHeight="1">
      <c r="A10" s="6" t="inlineStr">
        <is>
          <t>1.4</t>
        </is>
      </c>
      <c r="B10" s="7" t="inlineStr">
        <is>
          <t>Закрытие проекта</t>
        </is>
      </c>
      <c r="C10" s="26" t="inlineStr">
        <is>
          <t>Лопатин, Шунулин</t>
        </is>
      </c>
      <c r="D10" s="6" t="inlineStr">
        <is>
          <t>28.12</t>
        </is>
      </c>
      <c r="E10" s="6" t="inlineStr">
        <is>
          <t>30.12</t>
        </is>
      </c>
      <c r="F10" s="23" t="n"/>
      <c r="G10" s="23" t="n"/>
      <c r="H10" s="23" t="n"/>
      <c r="I10" s="23" t="n"/>
      <c r="J10" s="24" t="n"/>
      <c r="K10" s="23" t="n"/>
      <c r="L10" s="23" t="n"/>
      <c r="M10" s="23" t="n"/>
      <c r="N10" s="23" t="n"/>
      <c r="O10" s="25" t="n"/>
      <c r="P10" s="23" t="n"/>
      <c r="Q10" s="23" t="n"/>
      <c r="R10" s="23" t="n"/>
      <c r="S10" s="24" t="n"/>
      <c r="T10" s="23" t="n"/>
      <c r="U10" s="23" t="n"/>
      <c r="V10" s="23" t="n"/>
      <c r="W10" s="23" t="n"/>
      <c r="X10" s="25" t="n"/>
      <c r="Y10" s="23" t="n"/>
      <c r="Z10" s="23" t="n"/>
      <c r="AA10" s="23" t="n"/>
      <c r="AB10" s="23" t="n"/>
      <c r="AC10" s="24" t="n"/>
      <c r="AD10" s="23" t="n"/>
      <c r="AE10" s="23" t="n"/>
      <c r="AF10" s="23" t="n"/>
      <c r="AG10" s="23" t="n"/>
      <c r="AH10" s="25" t="n"/>
      <c r="AI10" s="23" t="n"/>
      <c r="AJ10" s="23" t="n"/>
      <c r="AK10" s="23" t="n"/>
      <c r="AL10" s="23" t="n"/>
      <c r="AM10" s="24" t="n"/>
      <c r="AN10" s="23" t="n"/>
      <c r="AO10" s="23" t="n"/>
      <c r="AP10" s="23" t="n"/>
      <c r="AQ10" s="23" t="n"/>
      <c r="AR10" s="25" t="n"/>
      <c r="AS10" s="23" t="n"/>
      <c r="AT10" s="23" t="n"/>
      <c r="AU10" s="23" t="n"/>
      <c r="AV10" s="23" t="n"/>
      <c r="AW10" s="24" t="n"/>
      <c r="AX10" s="23" t="n"/>
      <c r="AY10" s="23" t="n"/>
      <c r="AZ10" s="23" t="n"/>
      <c r="BA10" s="23" t="n"/>
      <c r="BB10" s="25" t="n"/>
      <c r="BC10" s="28" t="n"/>
      <c r="BD10" s="28" t="n"/>
      <c r="BE10" s="28" t="n"/>
      <c r="BF10" s="23" t="n"/>
    </row>
    <row r="11" ht="16" customHeight="1">
      <c r="A11" s="6" t="inlineStr">
        <is>
          <t>2.1</t>
        </is>
      </c>
      <c r="B11" s="7" t="inlineStr">
        <is>
          <t>Сбор и анализ требований</t>
        </is>
      </c>
      <c r="C11" s="26" t="inlineStr">
        <is>
          <t>Паноченко</t>
        </is>
      </c>
      <c r="D11" s="6" t="inlineStr">
        <is>
          <t>19.10</t>
        </is>
      </c>
      <c r="E11" s="6" t="inlineStr">
        <is>
          <t>25.12</t>
        </is>
      </c>
      <c r="F11" s="29" t="n"/>
      <c r="G11" s="29" t="n"/>
      <c r="H11" s="29" t="n"/>
      <c r="I11" s="29" t="n"/>
      <c r="J11" s="30" t="n"/>
      <c r="K11" s="29" t="n"/>
      <c r="L11" s="29" t="n"/>
      <c r="M11" s="29" t="n"/>
      <c r="N11" s="29" t="n"/>
      <c r="O11" s="31" t="n"/>
      <c r="P11" s="29" t="n"/>
      <c r="Q11" s="29" t="n"/>
      <c r="R11" s="29" t="n"/>
      <c r="S11" s="30" t="n"/>
      <c r="T11" s="29" t="n"/>
      <c r="U11" s="29" t="n"/>
      <c r="V11" s="29" t="n"/>
      <c r="W11" s="29" t="n"/>
      <c r="X11" s="31" t="n"/>
      <c r="Y11" s="29" t="n"/>
      <c r="Z11" s="29" t="n"/>
      <c r="AA11" s="29" t="n"/>
      <c r="AB11" s="29" t="n"/>
      <c r="AC11" s="30" t="n"/>
      <c r="AD11" s="29" t="n"/>
      <c r="AE11" s="29" t="n"/>
      <c r="AF11" s="29" t="n"/>
      <c r="AG11" s="29" t="n"/>
      <c r="AH11" s="31" t="n"/>
      <c r="AI11" s="29" t="n"/>
      <c r="AJ11" s="29" t="n"/>
      <c r="AK11" s="29" t="n"/>
      <c r="AL11" s="29" t="n"/>
      <c r="AM11" s="30" t="n"/>
      <c r="AN11" s="29" t="n"/>
      <c r="AO11" s="29" t="n"/>
      <c r="AP11" s="29" t="n"/>
      <c r="AQ11" s="29" t="n"/>
      <c r="AR11" s="31" t="n"/>
      <c r="AS11" s="29" t="n"/>
      <c r="AT11" s="29" t="n"/>
      <c r="AU11" s="29" t="n"/>
      <c r="AV11" s="29" t="n"/>
      <c r="AW11" s="30" t="n"/>
      <c r="AX11" s="29" t="n"/>
      <c r="AY11" s="29" t="n"/>
      <c r="AZ11" s="29" t="n"/>
      <c r="BA11" s="29" t="n"/>
      <c r="BB11" s="31" t="n"/>
      <c r="BC11" s="23" t="n"/>
      <c r="BD11" s="23" t="n"/>
      <c r="BE11" s="23" t="n"/>
      <c r="BF11" s="23" t="n"/>
    </row>
    <row r="12" ht="16" customHeight="1">
      <c r="A12" s="6" t="inlineStr">
        <is>
          <t>2.2</t>
        </is>
      </c>
      <c r="B12" s="7" t="inlineStr">
        <is>
          <t>Проектирование архитектуры и базы данных</t>
        </is>
      </c>
      <c r="C12" s="26" t="inlineStr">
        <is>
          <t>Горбов, Паноченко</t>
        </is>
      </c>
      <c r="D12" s="6" t="inlineStr">
        <is>
          <t>19.10</t>
        </is>
      </c>
      <c r="E12" s="6" t="inlineStr">
        <is>
          <t>29.10</t>
        </is>
      </c>
      <c r="F12" s="32" t="n"/>
      <c r="G12" s="32" t="n"/>
      <c r="H12" s="32" t="n"/>
      <c r="I12" s="32" t="n"/>
      <c r="J12" s="33" t="n"/>
      <c r="K12" s="32" t="n"/>
      <c r="L12" s="32" t="n"/>
      <c r="M12" s="32" t="n"/>
      <c r="N12" s="32" t="n"/>
      <c r="O12" s="25" t="n"/>
      <c r="P12" s="23" t="n"/>
      <c r="Q12" s="23" t="n"/>
      <c r="R12" s="23" t="n"/>
      <c r="S12" s="24" t="n"/>
      <c r="T12" s="23" t="n"/>
      <c r="U12" s="23" t="n"/>
      <c r="V12" s="23" t="n"/>
      <c r="W12" s="23" t="n"/>
      <c r="X12" s="25" t="n"/>
      <c r="Y12" s="23" t="n"/>
      <c r="Z12" s="23" t="n"/>
      <c r="AA12" s="23" t="n"/>
      <c r="AB12" s="23" t="n"/>
      <c r="AC12" s="24" t="n"/>
      <c r="AD12" s="23" t="n"/>
      <c r="AE12" s="23" t="n"/>
      <c r="AF12" s="23" t="n"/>
      <c r="AG12" s="23" t="n"/>
      <c r="AH12" s="25" t="n"/>
      <c r="AI12" s="23" t="n"/>
      <c r="AJ12" s="23" t="n"/>
      <c r="AK12" s="23" t="n"/>
      <c r="AL12" s="23" t="n"/>
      <c r="AM12" s="24" t="n"/>
      <c r="AN12" s="23" t="n"/>
      <c r="AO12" s="23" t="n"/>
      <c r="AP12" s="23" t="n"/>
      <c r="AQ12" s="23" t="n"/>
      <c r="AR12" s="25" t="n"/>
      <c r="AS12" s="23" t="n"/>
      <c r="AT12" s="23" t="n"/>
      <c r="AU12" s="23" t="n"/>
      <c r="AV12" s="23" t="n"/>
      <c r="AW12" s="24" t="n"/>
      <c r="AX12" s="23" t="n"/>
      <c r="AY12" s="23" t="n"/>
      <c r="AZ12" s="23" t="n"/>
      <c r="BA12" s="23" t="n"/>
      <c r="BB12" s="25" t="n"/>
      <c r="BC12" s="23" t="n"/>
      <c r="BD12" s="23" t="n"/>
      <c r="BE12" s="23" t="n"/>
      <c r="BF12" s="23" t="n"/>
    </row>
    <row r="13" ht="16" customHeight="1">
      <c r="A13" s="6" t="inlineStr">
        <is>
          <t>2.3</t>
        </is>
      </c>
      <c r="B13" s="7" t="inlineStr">
        <is>
          <t>Проектирование пользовательского интерфейса</t>
        </is>
      </c>
      <c r="C13" s="26" t="inlineStr">
        <is>
          <t>Кодинцев, Нгуен</t>
        </is>
      </c>
      <c r="D13" s="6" t="inlineStr">
        <is>
          <t>19.10</t>
        </is>
      </c>
      <c r="E13" s="6" t="inlineStr">
        <is>
          <t>28.10</t>
        </is>
      </c>
      <c r="F13" s="28" t="n"/>
      <c r="G13" s="28" t="n"/>
      <c r="H13" s="28" t="n"/>
      <c r="I13" s="28" t="n"/>
      <c r="J13" s="27" t="n"/>
      <c r="K13" s="28" t="n"/>
      <c r="L13" s="28" t="n"/>
      <c r="M13" s="28" t="n"/>
      <c r="N13" s="23" t="n"/>
      <c r="O13" s="25" t="n"/>
      <c r="P13" s="23" t="n"/>
      <c r="Q13" s="23" t="n"/>
      <c r="R13" s="23" t="n"/>
      <c r="S13" s="24" t="n"/>
      <c r="T13" s="23" t="n"/>
      <c r="U13" s="23" t="n"/>
      <c r="V13" s="23" t="n"/>
      <c r="W13" s="23" t="n"/>
      <c r="X13" s="25" t="n"/>
      <c r="Y13" s="23" t="n"/>
      <c r="Z13" s="23" t="n"/>
      <c r="AA13" s="23" t="n"/>
      <c r="AB13" s="23" t="n"/>
      <c r="AC13" s="24" t="n"/>
      <c r="AD13" s="23" t="n"/>
      <c r="AE13" s="23" t="n"/>
      <c r="AF13" s="23" t="n"/>
      <c r="AG13" s="23" t="n"/>
      <c r="AH13" s="25" t="n"/>
      <c r="AI13" s="23" t="n"/>
      <c r="AJ13" s="23" t="n"/>
      <c r="AK13" s="23" t="n"/>
      <c r="AL13" s="23" t="n"/>
      <c r="AM13" s="24" t="n"/>
      <c r="AN13" s="23" t="n"/>
      <c r="AO13" s="23" t="n"/>
      <c r="AP13" s="23" t="n"/>
      <c r="AQ13" s="23" t="n"/>
      <c r="AR13" s="25" t="n"/>
      <c r="AS13" s="23" t="n"/>
      <c r="AT13" s="23" t="n"/>
      <c r="AU13" s="23" t="n"/>
      <c r="AV13" s="23" t="n"/>
      <c r="AW13" s="24" t="n"/>
      <c r="AX13" s="23" t="n"/>
      <c r="AY13" s="23" t="n"/>
      <c r="AZ13" s="23" t="n"/>
      <c r="BA13" s="23" t="n"/>
      <c r="BB13" s="25" t="n"/>
      <c r="BC13" s="23" t="n"/>
      <c r="BD13" s="23" t="n"/>
      <c r="BE13" s="23" t="n"/>
      <c r="BF13" s="23" t="n"/>
    </row>
    <row r="14" ht="16" customHeight="1">
      <c r="A14" s="6" t="inlineStr">
        <is>
          <t>2.4</t>
        </is>
      </c>
      <c r="B14" s="7" t="inlineStr">
        <is>
          <t>Подготовка среды и инструментов</t>
        </is>
      </c>
      <c r="C14" s="26" t="inlineStr">
        <is>
          <t>Лопатин, Сибирко, Шунулин</t>
        </is>
      </c>
      <c r="D14" s="6" t="inlineStr">
        <is>
          <t>19.10</t>
        </is>
      </c>
      <c r="E14" s="6" t="inlineStr">
        <is>
          <t>22.10</t>
        </is>
      </c>
      <c r="F14" s="28" t="n"/>
      <c r="G14" s="28" t="n"/>
      <c r="H14" s="28" t="n"/>
      <c r="I14" s="28" t="n"/>
      <c r="J14" s="24" t="n"/>
      <c r="K14" s="23" t="n"/>
      <c r="L14" s="23" t="n"/>
      <c r="M14" s="23" t="n"/>
      <c r="N14" s="23" t="n"/>
      <c r="O14" s="25" t="n"/>
      <c r="P14" s="23" t="n"/>
      <c r="Q14" s="23" t="n"/>
      <c r="R14" s="23" t="n"/>
      <c r="S14" s="24" t="n"/>
      <c r="T14" s="23" t="n"/>
      <c r="U14" s="23" t="n"/>
      <c r="V14" s="23" t="n"/>
      <c r="W14" s="23" t="n"/>
      <c r="X14" s="25" t="n"/>
      <c r="Y14" s="23" t="n"/>
      <c r="Z14" s="23" t="n"/>
      <c r="AA14" s="23" t="n"/>
      <c r="AB14" s="23" t="n"/>
      <c r="AC14" s="24" t="n"/>
      <c r="AD14" s="23" t="n"/>
      <c r="AE14" s="23" t="n"/>
      <c r="AF14" s="23" t="n"/>
      <c r="AG14" s="23" t="n"/>
      <c r="AH14" s="25" t="n"/>
      <c r="AI14" s="23" t="n"/>
      <c r="AJ14" s="23" t="n"/>
      <c r="AK14" s="23" t="n"/>
      <c r="AL14" s="23" t="n"/>
      <c r="AM14" s="24" t="n"/>
      <c r="AN14" s="23" t="n"/>
      <c r="AO14" s="23" t="n"/>
      <c r="AP14" s="23" t="n"/>
      <c r="AQ14" s="23" t="n"/>
      <c r="AR14" s="25" t="n"/>
      <c r="AS14" s="23" t="n"/>
      <c r="AT14" s="23" t="n"/>
      <c r="AU14" s="23" t="n"/>
      <c r="AV14" s="23" t="n"/>
      <c r="AW14" s="24" t="n"/>
      <c r="AX14" s="23" t="n"/>
      <c r="AY14" s="23" t="n"/>
      <c r="AZ14" s="23" t="n"/>
      <c r="BA14" s="23" t="n"/>
      <c r="BB14" s="25" t="n"/>
      <c r="BC14" s="23" t="n"/>
      <c r="BD14" s="23" t="n"/>
      <c r="BE14" s="23" t="n"/>
      <c r="BF14" s="23" t="n"/>
    </row>
    <row r="15" ht="16" customHeight="1">
      <c r="A15" s="6" t="inlineStr">
        <is>
          <t>2.5</t>
        </is>
      </c>
      <c r="B15" s="7" t="inlineStr">
        <is>
          <t>Подготовка демонстрационных данных</t>
        </is>
      </c>
      <c r="C15" s="26" t="inlineStr">
        <is>
          <t>Паноченко, Сибирко, Кодинцев, Нгуен</t>
        </is>
      </c>
      <c r="D15" s="6" t="inlineStr">
        <is>
          <t>30.10</t>
        </is>
      </c>
      <c r="E15" s="6" t="inlineStr">
        <is>
          <t>03.11</t>
        </is>
      </c>
      <c r="F15" s="23" t="n"/>
      <c r="G15" s="23" t="n"/>
      <c r="H15" s="23" t="n"/>
      <c r="I15" s="23" t="n"/>
      <c r="J15" s="24" t="n"/>
      <c r="K15" s="23" t="n"/>
      <c r="L15" s="23" t="n"/>
      <c r="M15" s="23" t="n"/>
      <c r="N15" s="23" t="n"/>
      <c r="O15" s="34" t="n"/>
      <c r="P15" s="32" t="n"/>
      <c r="Q15" s="32" t="n"/>
      <c r="R15" s="23" t="n"/>
      <c r="S15" s="24" t="n"/>
      <c r="T15" s="23" t="n"/>
      <c r="U15" s="23" t="n"/>
      <c r="V15" s="23" t="n"/>
      <c r="W15" s="23" t="n"/>
      <c r="X15" s="25" t="n"/>
      <c r="Y15" s="23" t="n"/>
      <c r="Z15" s="23" t="n"/>
      <c r="AA15" s="23" t="n"/>
      <c r="AB15" s="23" t="n"/>
      <c r="AC15" s="24" t="n"/>
      <c r="AD15" s="23" t="n"/>
      <c r="AE15" s="23" t="n"/>
      <c r="AF15" s="23" t="n"/>
      <c r="AG15" s="23" t="n"/>
      <c r="AH15" s="25" t="n"/>
      <c r="AI15" s="23" t="n"/>
      <c r="AJ15" s="23" t="n"/>
      <c r="AK15" s="23" t="n"/>
      <c r="AL15" s="23" t="n"/>
      <c r="AM15" s="24" t="n"/>
      <c r="AN15" s="23" t="n"/>
      <c r="AO15" s="23" t="n"/>
      <c r="AP15" s="23" t="n"/>
      <c r="AQ15" s="23" t="n"/>
      <c r="AR15" s="25" t="n"/>
      <c r="AS15" s="23" t="n"/>
      <c r="AT15" s="23" t="n"/>
      <c r="AU15" s="23" t="n"/>
      <c r="AV15" s="23" t="n"/>
      <c r="AW15" s="24" t="n"/>
      <c r="AX15" s="23" t="n"/>
      <c r="AY15" s="23" t="n"/>
      <c r="AZ15" s="23" t="n"/>
      <c r="BA15" s="23" t="n"/>
      <c r="BB15" s="25" t="n"/>
      <c r="BC15" s="23" t="n"/>
      <c r="BD15" s="23" t="n"/>
      <c r="BE15" s="23" t="n"/>
      <c r="BF15" s="23" t="n"/>
    </row>
    <row r="16" ht="16" customHeight="1">
      <c r="A16" s="6" t="inlineStr">
        <is>
          <t>3.1</t>
        </is>
      </c>
      <c r="B16" s="7" t="inlineStr">
        <is>
          <t>Реестр лошадей и карточка лошади</t>
        </is>
      </c>
      <c r="C16" s="26" t="inlineStr">
        <is>
          <t>Горбов, Паноченко, Кодинцев, Нгуен</t>
        </is>
      </c>
      <c r="D16" s="6" t="inlineStr">
        <is>
          <t>05.11</t>
        </is>
      </c>
      <c r="E16" s="6" t="inlineStr">
        <is>
          <t>12.11</t>
        </is>
      </c>
      <c r="F16" s="23" t="n"/>
      <c r="G16" s="23" t="n"/>
      <c r="H16" s="23" t="n"/>
      <c r="I16" s="23" t="n"/>
      <c r="J16" s="24" t="n"/>
      <c r="K16" s="23" t="n"/>
      <c r="L16" s="23" t="n"/>
      <c r="M16" s="23" t="n"/>
      <c r="N16" s="23" t="n"/>
      <c r="O16" s="25" t="n"/>
      <c r="P16" s="23" t="n"/>
      <c r="Q16" s="23" t="n"/>
      <c r="R16" s="32" t="n"/>
      <c r="S16" s="33" t="n"/>
      <c r="T16" s="32" t="n"/>
      <c r="U16" s="32" t="n"/>
      <c r="V16" s="32" t="n"/>
      <c r="W16" s="32" t="n"/>
      <c r="X16" s="25" t="n"/>
      <c r="Y16" s="23" t="n"/>
      <c r="Z16" s="23" t="n"/>
      <c r="AA16" s="23" t="n"/>
      <c r="AB16" s="23" t="n"/>
      <c r="AC16" s="24" t="n"/>
      <c r="AD16" s="23" t="n"/>
      <c r="AE16" s="23" t="n"/>
      <c r="AF16" s="23" t="n"/>
      <c r="AG16" s="23" t="n"/>
      <c r="AH16" s="25" t="n"/>
      <c r="AI16" s="23" t="n"/>
      <c r="AJ16" s="23" t="n"/>
      <c r="AK16" s="23" t="n"/>
      <c r="AL16" s="23" t="n"/>
      <c r="AM16" s="24" t="n"/>
      <c r="AN16" s="23" t="n"/>
      <c r="AO16" s="23" t="n"/>
      <c r="AP16" s="23" t="n"/>
      <c r="AQ16" s="23" t="n"/>
      <c r="AR16" s="25" t="n"/>
      <c r="AS16" s="23" t="n"/>
      <c r="AT16" s="23" t="n"/>
      <c r="AU16" s="23" t="n"/>
      <c r="AV16" s="23" t="n"/>
      <c r="AW16" s="24" t="n"/>
      <c r="AX16" s="23" t="n"/>
      <c r="AY16" s="23" t="n"/>
      <c r="AZ16" s="23" t="n"/>
      <c r="BA16" s="23" t="n"/>
      <c r="BB16" s="25" t="n"/>
      <c r="BC16" s="23" t="n"/>
      <c r="BD16" s="23" t="n"/>
      <c r="BE16" s="23" t="n"/>
      <c r="BF16" s="23" t="n"/>
    </row>
    <row r="17" ht="16" customHeight="1">
      <c r="A17" s="6" t="inlineStr">
        <is>
          <t>3.2</t>
        </is>
      </c>
      <c r="B17" s="7" t="inlineStr">
        <is>
          <t>Размещение и перемещения</t>
        </is>
      </c>
      <c r="C17" s="26" t="inlineStr">
        <is>
          <t>Горбов, Кодинцев</t>
        </is>
      </c>
      <c r="D17" s="6" t="inlineStr">
        <is>
          <t>13.11</t>
        </is>
      </c>
      <c r="E17" s="6" t="inlineStr">
        <is>
          <t>24.11</t>
        </is>
      </c>
      <c r="F17" s="23" t="n"/>
      <c r="G17" s="23" t="n"/>
      <c r="H17" s="23" t="n"/>
      <c r="I17" s="23" t="n"/>
      <c r="J17" s="24" t="n"/>
      <c r="K17" s="23" t="n"/>
      <c r="L17" s="23" t="n"/>
      <c r="M17" s="23" t="n"/>
      <c r="N17" s="23" t="n"/>
      <c r="O17" s="25" t="n"/>
      <c r="P17" s="23" t="n"/>
      <c r="Q17" s="23" t="n"/>
      <c r="R17" s="23" t="n"/>
      <c r="S17" s="24" t="n"/>
      <c r="T17" s="23" t="n"/>
      <c r="U17" s="23" t="n"/>
      <c r="V17" s="23" t="n"/>
      <c r="W17" s="23" t="n"/>
      <c r="X17" s="34" t="n"/>
      <c r="Y17" s="32" t="n"/>
      <c r="Z17" s="32" t="n"/>
      <c r="AA17" s="32" t="n"/>
      <c r="AB17" s="32" t="n"/>
      <c r="AC17" s="33" t="n"/>
      <c r="AD17" s="32" t="n"/>
      <c r="AE17" s="32" t="n"/>
      <c r="AF17" s="23" t="n"/>
      <c r="AG17" s="23" t="n"/>
      <c r="AH17" s="25" t="n"/>
      <c r="AI17" s="23" t="n"/>
      <c r="AJ17" s="23" t="n"/>
      <c r="AK17" s="23" t="n"/>
      <c r="AL17" s="23" t="n"/>
      <c r="AM17" s="24" t="n"/>
      <c r="AN17" s="23" t="n"/>
      <c r="AO17" s="23" t="n"/>
      <c r="AP17" s="23" t="n"/>
      <c r="AQ17" s="23" t="n"/>
      <c r="AR17" s="25" t="n"/>
      <c r="AS17" s="23" t="n"/>
      <c r="AT17" s="23" t="n"/>
      <c r="AU17" s="23" t="n"/>
      <c r="AV17" s="23" t="n"/>
      <c r="AW17" s="24" t="n"/>
      <c r="AX17" s="23" t="n"/>
      <c r="AY17" s="23" t="n"/>
      <c r="AZ17" s="23" t="n"/>
      <c r="BA17" s="23" t="n"/>
      <c r="BB17" s="25" t="n"/>
      <c r="BC17" s="23" t="n"/>
      <c r="BD17" s="23" t="n"/>
      <c r="BE17" s="23" t="n"/>
      <c r="BF17" s="23" t="n"/>
    </row>
    <row r="18" ht="16" customHeight="1">
      <c r="A18" s="6" t="inlineStr">
        <is>
          <t>3.3</t>
        </is>
      </c>
      <c r="B18" s="7" t="inlineStr">
        <is>
          <t>Ввод записей о состоянии и происшествиях</t>
        </is>
      </c>
      <c r="C18" s="26" t="inlineStr">
        <is>
          <t>Паноченко, Нгуен</t>
        </is>
      </c>
      <c r="D18" s="6" t="inlineStr">
        <is>
          <t>13.11</t>
        </is>
      </c>
      <c r="E18" s="6" t="inlineStr">
        <is>
          <t>19.11</t>
        </is>
      </c>
      <c r="F18" s="23" t="n"/>
      <c r="G18" s="23" t="n"/>
      <c r="H18" s="23" t="n"/>
      <c r="I18" s="23" t="n"/>
      <c r="J18" s="24" t="n"/>
      <c r="K18" s="23" t="n"/>
      <c r="L18" s="23" t="n"/>
      <c r="M18" s="23" t="n"/>
      <c r="N18" s="23" t="n"/>
      <c r="O18" s="25" t="n"/>
      <c r="P18" s="23" t="n"/>
      <c r="Q18" s="23" t="n"/>
      <c r="R18" s="23" t="n"/>
      <c r="S18" s="24" t="n"/>
      <c r="T18" s="23" t="n"/>
      <c r="U18" s="23" t="n"/>
      <c r="V18" s="23" t="n"/>
      <c r="W18" s="23" t="n"/>
      <c r="X18" s="35" t="n"/>
      <c r="Y18" s="28" t="n"/>
      <c r="Z18" s="28" t="n"/>
      <c r="AA18" s="28" t="n"/>
      <c r="AB18" s="28" t="n"/>
      <c r="AC18" s="24" t="n"/>
      <c r="AD18" s="23" t="n"/>
      <c r="AE18" s="23" t="n"/>
      <c r="AF18" s="23" t="n"/>
      <c r="AG18" s="23" t="n"/>
      <c r="AH18" s="25" t="n"/>
      <c r="AI18" s="23" t="n"/>
      <c r="AJ18" s="23" t="n"/>
      <c r="AK18" s="23" t="n"/>
      <c r="AL18" s="23" t="n"/>
      <c r="AM18" s="24" t="n"/>
      <c r="AN18" s="23" t="n"/>
      <c r="AO18" s="23" t="n"/>
      <c r="AP18" s="23" t="n"/>
      <c r="AQ18" s="23" t="n"/>
      <c r="AR18" s="25" t="n"/>
      <c r="AS18" s="23" t="n"/>
      <c r="AT18" s="23" t="n"/>
      <c r="AU18" s="23" t="n"/>
      <c r="AV18" s="23" t="n"/>
      <c r="AW18" s="24" t="n"/>
      <c r="AX18" s="23" t="n"/>
      <c r="AY18" s="23" t="n"/>
      <c r="AZ18" s="23" t="n"/>
      <c r="BA18" s="23" t="n"/>
      <c r="BB18" s="25" t="n"/>
      <c r="BC18" s="23" t="n"/>
      <c r="BD18" s="23" t="n"/>
      <c r="BE18" s="23" t="n"/>
      <c r="BF18" s="23" t="n"/>
    </row>
    <row r="19" ht="16" customHeight="1">
      <c r="A19" s="6" t="inlineStr">
        <is>
          <t>3.4</t>
        </is>
      </c>
      <c r="B19" s="7" t="inlineStr">
        <is>
          <t>Справка «История жеребца»</t>
        </is>
      </c>
      <c r="C19" s="26" t="inlineStr">
        <is>
          <t>Паноченко, Нгуен</t>
        </is>
      </c>
      <c r="D19" s="6" t="inlineStr">
        <is>
          <t>20.11</t>
        </is>
      </c>
      <c r="E19" s="6" t="inlineStr">
        <is>
          <t>01.12</t>
        </is>
      </c>
      <c r="F19" s="23" t="n"/>
      <c r="G19" s="23" t="n"/>
      <c r="H19" s="23" t="n"/>
      <c r="I19" s="23" t="n"/>
      <c r="J19" s="24" t="n"/>
      <c r="K19" s="23" t="n"/>
      <c r="L19" s="23" t="n"/>
      <c r="M19" s="23" t="n"/>
      <c r="N19" s="23" t="n"/>
      <c r="O19" s="25" t="n"/>
      <c r="P19" s="23" t="n"/>
      <c r="Q19" s="23" t="n"/>
      <c r="R19" s="23" t="n"/>
      <c r="S19" s="24" t="n"/>
      <c r="T19" s="23" t="n"/>
      <c r="U19" s="23" t="n"/>
      <c r="V19" s="23" t="n"/>
      <c r="W19" s="23" t="n"/>
      <c r="X19" s="25" t="n"/>
      <c r="Y19" s="23" t="n"/>
      <c r="Z19" s="23" t="n"/>
      <c r="AA19" s="23" t="n"/>
      <c r="AB19" s="23" t="n"/>
      <c r="AC19" s="27" t="n"/>
      <c r="AD19" s="28" t="n"/>
      <c r="AE19" s="28" t="n"/>
      <c r="AF19" s="28" t="n"/>
      <c r="AG19" s="28" t="n"/>
      <c r="AH19" s="35" t="n"/>
      <c r="AI19" s="28" t="n"/>
      <c r="AJ19" s="28" t="n"/>
      <c r="AK19" s="23" t="n"/>
      <c r="AL19" s="23" t="n"/>
      <c r="AM19" s="24" t="n"/>
      <c r="AN19" s="23" t="n"/>
      <c r="AO19" s="23" t="n"/>
      <c r="AP19" s="23" t="n"/>
      <c r="AQ19" s="23" t="n"/>
      <c r="AR19" s="25" t="n"/>
      <c r="AS19" s="23" t="n"/>
      <c r="AT19" s="23" t="n"/>
      <c r="AU19" s="23" t="n"/>
      <c r="AV19" s="23" t="n"/>
      <c r="AW19" s="24" t="n"/>
      <c r="AX19" s="23" t="n"/>
      <c r="AY19" s="23" t="n"/>
      <c r="AZ19" s="23" t="n"/>
      <c r="BA19" s="23" t="n"/>
      <c r="BB19" s="25" t="n"/>
      <c r="BC19" s="23" t="n"/>
      <c r="BD19" s="23" t="n"/>
      <c r="BE19" s="23" t="n"/>
      <c r="BF19" s="23" t="n"/>
    </row>
    <row r="20" ht="16" customHeight="1">
      <c r="A20" s="6" t="inlineStr">
        <is>
          <t>3.5</t>
        </is>
      </c>
      <c r="B20" s="7" t="inlineStr">
        <is>
          <t>Справка «Перемещения и контакты»</t>
        </is>
      </c>
      <c r="C20" s="26" t="inlineStr">
        <is>
          <t>Горбов, Кодинцев</t>
        </is>
      </c>
      <c r="D20" s="6" t="inlineStr">
        <is>
          <t>25.11</t>
        </is>
      </c>
      <c r="E20" s="6" t="inlineStr">
        <is>
          <t>03.12</t>
        </is>
      </c>
      <c r="F20" s="23" t="n"/>
      <c r="G20" s="23" t="n"/>
      <c r="H20" s="23" t="n"/>
      <c r="I20" s="23" t="n"/>
      <c r="J20" s="24" t="n"/>
      <c r="K20" s="23" t="n"/>
      <c r="L20" s="23" t="n"/>
      <c r="M20" s="23" t="n"/>
      <c r="N20" s="23" t="n"/>
      <c r="O20" s="25" t="n"/>
      <c r="P20" s="23" t="n"/>
      <c r="Q20" s="23" t="n"/>
      <c r="R20" s="23" t="n"/>
      <c r="S20" s="24" t="n"/>
      <c r="T20" s="23" t="n"/>
      <c r="U20" s="23" t="n"/>
      <c r="V20" s="23" t="n"/>
      <c r="W20" s="23" t="n"/>
      <c r="X20" s="25" t="n"/>
      <c r="Y20" s="23" t="n"/>
      <c r="Z20" s="23" t="n"/>
      <c r="AA20" s="23" t="n"/>
      <c r="AB20" s="23" t="n"/>
      <c r="AC20" s="24" t="n"/>
      <c r="AD20" s="23" t="n"/>
      <c r="AE20" s="23" t="n"/>
      <c r="AF20" s="32" t="n"/>
      <c r="AG20" s="32" t="n"/>
      <c r="AH20" s="34" t="n"/>
      <c r="AI20" s="32" t="n"/>
      <c r="AJ20" s="32" t="n"/>
      <c r="AK20" s="32" t="n"/>
      <c r="AL20" s="32" t="n"/>
      <c r="AM20" s="24" t="n"/>
      <c r="AN20" s="23" t="n"/>
      <c r="AO20" s="23" t="n"/>
      <c r="AP20" s="23" t="n"/>
      <c r="AQ20" s="23" t="n"/>
      <c r="AR20" s="25" t="n"/>
      <c r="AS20" s="23" t="n"/>
      <c r="AT20" s="23" t="n"/>
      <c r="AU20" s="23" t="n"/>
      <c r="AV20" s="23" t="n"/>
      <c r="AW20" s="24" t="n"/>
      <c r="AX20" s="23" t="n"/>
      <c r="AY20" s="23" t="n"/>
      <c r="AZ20" s="23" t="n"/>
      <c r="BA20" s="23" t="n"/>
      <c r="BB20" s="25" t="n"/>
      <c r="BC20" s="23" t="n"/>
      <c r="BD20" s="23" t="n"/>
      <c r="BE20" s="23" t="n"/>
      <c r="BF20" s="23" t="n"/>
    </row>
    <row r="21" ht="16" customHeight="1">
      <c r="A21" s="6" t="inlineStr">
        <is>
          <t>4.1</t>
        </is>
      </c>
      <c r="B21" s="7" t="inlineStr">
        <is>
          <t>Формализация правил совместимости</t>
        </is>
      </c>
      <c r="C21" s="26" t="inlineStr">
        <is>
          <t>Лопатин, Шунулин</t>
        </is>
      </c>
      <c r="D21" s="6" t="inlineStr">
        <is>
          <t>29.10</t>
        </is>
      </c>
      <c r="E21" s="6" t="inlineStr">
        <is>
          <t>06.11</t>
        </is>
      </c>
      <c r="F21" s="23" t="n"/>
      <c r="G21" s="23" t="n"/>
      <c r="H21" s="23" t="n"/>
      <c r="I21" s="23" t="n"/>
      <c r="J21" s="24" t="n"/>
      <c r="K21" s="23" t="n"/>
      <c r="L21" s="23" t="n"/>
      <c r="M21" s="23" t="n"/>
      <c r="N21" s="28" t="n"/>
      <c r="O21" s="35" t="n"/>
      <c r="P21" s="28" t="n"/>
      <c r="Q21" s="28" t="n"/>
      <c r="R21" s="28" t="n"/>
      <c r="S21" s="27" t="n"/>
      <c r="T21" s="23" t="n"/>
      <c r="U21" s="23" t="n"/>
      <c r="V21" s="23" t="n"/>
      <c r="W21" s="23" t="n"/>
      <c r="X21" s="25" t="n"/>
      <c r="Y21" s="23" t="n"/>
      <c r="Z21" s="23" t="n"/>
      <c r="AA21" s="23" t="n"/>
      <c r="AB21" s="23" t="n"/>
      <c r="AC21" s="24" t="n"/>
      <c r="AD21" s="23" t="n"/>
      <c r="AE21" s="23" t="n"/>
      <c r="AF21" s="23" t="n"/>
      <c r="AG21" s="23" t="n"/>
      <c r="AH21" s="25" t="n"/>
      <c r="AI21" s="23" t="n"/>
      <c r="AJ21" s="23" t="n"/>
      <c r="AK21" s="23" t="n"/>
      <c r="AL21" s="23" t="n"/>
      <c r="AM21" s="24" t="n"/>
      <c r="AN21" s="23" t="n"/>
      <c r="AO21" s="23" t="n"/>
      <c r="AP21" s="23" t="n"/>
      <c r="AQ21" s="23" t="n"/>
      <c r="AR21" s="25" t="n"/>
      <c r="AS21" s="23" t="n"/>
      <c r="AT21" s="23" t="n"/>
      <c r="AU21" s="23" t="n"/>
      <c r="AV21" s="23" t="n"/>
      <c r="AW21" s="24" t="n"/>
      <c r="AX21" s="23" t="n"/>
      <c r="AY21" s="23" t="n"/>
      <c r="AZ21" s="23" t="n"/>
      <c r="BA21" s="23" t="n"/>
      <c r="BB21" s="25" t="n"/>
      <c r="BC21" s="23" t="n"/>
      <c r="BD21" s="23" t="n"/>
      <c r="BE21" s="23" t="n"/>
      <c r="BF21" s="23" t="n"/>
    </row>
    <row r="22" ht="16" customHeight="1">
      <c r="A22" s="6" t="inlineStr">
        <is>
          <t>4.2</t>
        </is>
      </c>
      <c r="B22" s="7" t="inlineStr">
        <is>
          <t>Проверка совместимости пар</t>
        </is>
      </c>
      <c r="C22" s="26" t="inlineStr">
        <is>
          <t>Горбов, Кодинцев</t>
        </is>
      </c>
      <c r="D22" s="6" t="inlineStr">
        <is>
          <t>04.12</t>
        </is>
      </c>
      <c r="E22" s="6" t="inlineStr">
        <is>
          <t>16.12</t>
        </is>
      </c>
      <c r="F22" s="23" t="n"/>
      <c r="G22" s="23" t="n"/>
      <c r="H22" s="23" t="n"/>
      <c r="I22" s="23" t="n"/>
      <c r="J22" s="24" t="n"/>
      <c r="K22" s="23" t="n"/>
      <c r="L22" s="23" t="n"/>
      <c r="M22" s="23" t="n"/>
      <c r="N22" s="23" t="n"/>
      <c r="O22" s="25" t="n"/>
      <c r="P22" s="23" t="n"/>
      <c r="Q22" s="23" t="n"/>
      <c r="R22" s="23" t="n"/>
      <c r="S22" s="24" t="n"/>
      <c r="T22" s="23" t="n"/>
      <c r="U22" s="23" t="n"/>
      <c r="V22" s="23" t="n"/>
      <c r="W22" s="23" t="n"/>
      <c r="X22" s="25" t="n"/>
      <c r="Y22" s="23" t="n"/>
      <c r="Z22" s="23" t="n"/>
      <c r="AA22" s="23" t="n"/>
      <c r="AB22" s="23" t="n"/>
      <c r="AC22" s="24" t="n"/>
      <c r="AD22" s="23" t="n"/>
      <c r="AE22" s="23" t="n"/>
      <c r="AF22" s="23" t="n"/>
      <c r="AG22" s="23" t="n"/>
      <c r="AH22" s="25" t="n"/>
      <c r="AI22" s="23" t="n"/>
      <c r="AJ22" s="23" t="n"/>
      <c r="AK22" s="23" t="n"/>
      <c r="AL22" s="23" t="n"/>
      <c r="AM22" s="33" t="n"/>
      <c r="AN22" s="32" t="n"/>
      <c r="AO22" s="32" t="n"/>
      <c r="AP22" s="32" t="n"/>
      <c r="AQ22" s="32" t="n"/>
      <c r="AR22" s="34" t="n"/>
      <c r="AS22" s="32" t="n"/>
      <c r="AT22" s="32" t="n"/>
      <c r="AU22" s="32" t="n"/>
      <c r="AV22" s="23" t="n"/>
      <c r="AW22" s="24" t="n"/>
      <c r="AX22" s="23" t="n"/>
      <c r="AY22" s="23" t="n"/>
      <c r="AZ22" s="23" t="n"/>
      <c r="BA22" s="23" t="n"/>
      <c r="BB22" s="25" t="n"/>
      <c r="BC22" s="23" t="n"/>
      <c r="BD22" s="23" t="n"/>
      <c r="BE22" s="23" t="n"/>
      <c r="BF22" s="23" t="n"/>
    </row>
    <row r="23" ht="16" customHeight="1">
      <c r="A23" s="4" t="inlineStr">
        <is>
          <t>4.3</t>
        </is>
      </c>
      <c r="B23" s="5" t="inlineStr">
        <is>
          <t>Очередь и календарь жеребцов</t>
        </is>
      </c>
      <c r="C23" s="5" t="inlineStr">
        <is>
          <t>исключён</t>
        </is>
      </c>
      <c r="D23" s="4" t="inlineStr">
        <is>
          <t>—</t>
        </is>
      </c>
      <c r="E23" s="4" t="inlineStr">
        <is>
          <t>—</t>
        </is>
      </c>
      <c r="F23" s="23" t="n"/>
      <c r="G23" s="23" t="n"/>
      <c r="H23" s="23" t="n"/>
      <c r="I23" s="23" t="n"/>
      <c r="J23" s="24" t="n"/>
      <c r="K23" s="23" t="n"/>
      <c r="L23" s="23" t="n"/>
      <c r="M23" s="23" t="n"/>
      <c r="N23" s="23" t="n"/>
      <c r="O23" s="25" t="n"/>
      <c r="P23" s="23" t="n"/>
      <c r="Q23" s="23" t="n"/>
      <c r="R23" s="23" t="n"/>
      <c r="S23" s="24" t="n"/>
      <c r="T23" s="23" t="n"/>
      <c r="U23" s="23" t="n"/>
      <c r="V23" s="23" t="n"/>
      <c r="W23" s="23" t="n"/>
      <c r="X23" s="25" t="n"/>
      <c r="Y23" s="23" t="n"/>
      <c r="Z23" s="23" t="n"/>
      <c r="AA23" s="23" t="n"/>
      <c r="AB23" s="23" t="n"/>
      <c r="AC23" s="24" t="n"/>
      <c r="AD23" s="23" t="n"/>
      <c r="AE23" s="23" t="n"/>
      <c r="AF23" s="23" t="n"/>
      <c r="AG23" s="23" t="n"/>
      <c r="AH23" s="25" t="n"/>
      <c r="AI23" s="23" t="n"/>
      <c r="AJ23" s="23" t="n"/>
      <c r="AK23" s="23" t="n"/>
      <c r="AL23" s="23" t="n"/>
      <c r="AM23" s="24" t="n"/>
      <c r="AN23" s="23" t="n"/>
      <c r="AO23" s="23" t="n"/>
      <c r="AP23" s="23" t="n"/>
      <c r="AQ23" s="23" t="n"/>
      <c r="AR23" s="25" t="n"/>
      <c r="AS23" s="23" t="n"/>
      <c r="AT23" s="23" t="n"/>
      <c r="AU23" s="23" t="n"/>
      <c r="AV23" s="23" t="n"/>
      <c r="AW23" s="24" t="n"/>
      <c r="AX23" s="23" t="n"/>
      <c r="AY23" s="23" t="n"/>
      <c r="AZ23" s="23" t="n"/>
      <c r="BA23" s="23" t="n"/>
      <c r="BB23" s="25" t="n"/>
      <c r="BC23" s="23" t="n"/>
      <c r="BD23" s="23" t="n"/>
      <c r="BE23" s="23" t="n"/>
      <c r="BF23" s="23" t="n"/>
    </row>
    <row r="24" ht="16" customHeight="1">
      <c r="A24" s="6" t="inlineStr">
        <is>
          <t>5.1</t>
        </is>
      </c>
      <c r="B24" s="7" t="inlineStr">
        <is>
          <t>Кабинет клиента и заявки</t>
        </is>
      </c>
      <c r="C24" s="26" t="inlineStr">
        <is>
          <t>Паноченко, Нгуен</t>
        </is>
      </c>
      <c r="D24" s="6" t="inlineStr">
        <is>
          <t>02.12</t>
        </is>
      </c>
      <c r="E24" s="6" t="inlineStr">
        <is>
          <t>14.12</t>
        </is>
      </c>
      <c r="F24" s="23" t="n"/>
      <c r="G24" s="23" t="n"/>
      <c r="H24" s="23" t="n"/>
      <c r="I24" s="23" t="n"/>
      <c r="J24" s="24" t="n"/>
      <c r="K24" s="23" t="n"/>
      <c r="L24" s="23" t="n"/>
      <c r="M24" s="23" t="n"/>
      <c r="N24" s="23" t="n"/>
      <c r="O24" s="25" t="n"/>
      <c r="P24" s="23" t="n"/>
      <c r="Q24" s="23" t="n"/>
      <c r="R24" s="23" t="n"/>
      <c r="S24" s="24" t="n"/>
      <c r="T24" s="23" t="n"/>
      <c r="U24" s="23" t="n"/>
      <c r="V24" s="23" t="n"/>
      <c r="W24" s="23" t="n"/>
      <c r="X24" s="25" t="n"/>
      <c r="Y24" s="23" t="n"/>
      <c r="Z24" s="23" t="n"/>
      <c r="AA24" s="23" t="n"/>
      <c r="AB24" s="23" t="n"/>
      <c r="AC24" s="24" t="n"/>
      <c r="AD24" s="23" t="n"/>
      <c r="AE24" s="23" t="n"/>
      <c r="AF24" s="23" t="n"/>
      <c r="AG24" s="23" t="n"/>
      <c r="AH24" s="25" t="n"/>
      <c r="AI24" s="23" t="n"/>
      <c r="AJ24" s="23" t="n"/>
      <c r="AK24" s="28" t="n"/>
      <c r="AL24" s="28" t="n"/>
      <c r="AM24" s="27" t="n"/>
      <c r="AN24" s="28" t="n"/>
      <c r="AO24" s="28" t="n"/>
      <c r="AP24" s="28" t="n"/>
      <c r="AQ24" s="28" t="n"/>
      <c r="AR24" s="35" t="n"/>
      <c r="AS24" s="28" t="n"/>
      <c r="AT24" s="23" t="n"/>
      <c r="AU24" s="23" t="n"/>
      <c r="AV24" s="23" t="n"/>
      <c r="AW24" s="24" t="n"/>
      <c r="AX24" s="23" t="n"/>
      <c r="AY24" s="23" t="n"/>
      <c r="AZ24" s="23" t="n"/>
      <c r="BA24" s="23" t="n"/>
      <c r="BB24" s="25" t="n"/>
      <c r="BC24" s="23" t="n"/>
      <c r="BD24" s="23" t="n"/>
      <c r="BE24" s="23" t="n"/>
      <c r="BF24" s="23" t="n"/>
    </row>
    <row r="25" ht="16" customHeight="1">
      <c r="A25" s="4" t="inlineStr">
        <is>
          <t>5.2</t>
        </is>
      </c>
      <c r="B25" s="5" t="inlineStr">
        <is>
          <t>Заказ семени с доставкой</t>
        </is>
      </c>
      <c r="C25" s="5" t="inlineStr">
        <is>
          <t>исключён</t>
        </is>
      </c>
      <c r="D25" s="4" t="inlineStr">
        <is>
          <t>—</t>
        </is>
      </c>
      <c r="E25" s="4" t="inlineStr">
        <is>
          <t>—</t>
        </is>
      </c>
      <c r="F25" s="23" t="n"/>
      <c r="G25" s="23" t="n"/>
      <c r="H25" s="23" t="n"/>
      <c r="I25" s="23" t="n"/>
      <c r="J25" s="24" t="n"/>
      <c r="K25" s="23" t="n"/>
      <c r="L25" s="23" t="n"/>
      <c r="M25" s="23" t="n"/>
      <c r="N25" s="23" t="n"/>
      <c r="O25" s="25" t="n"/>
      <c r="P25" s="23" t="n"/>
      <c r="Q25" s="23" t="n"/>
      <c r="R25" s="23" t="n"/>
      <c r="S25" s="24" t="n"/>
      <c r="T25" s="23" t="n"/>
      <c r="U25" s="23" t="n"/>
      <c r="V25" s="23" t="n"/>
      <c r="W25" s="23" t="n"/>
      <c r="X25" s="25" t="n"/>
      <c r="Y25" s="23" t="n"/>
      <c r="Z25" s="23" t="n"/>
      <c r="AA25" s="23" t="n"/>
      <c r="AB25" s="23" t="n"/>
      <c r="AC25" s="24" t="n"/>
      <c r="AD25" s="23" t="n"/>
      <c r="AE25" s="23" t="n"/>
      <c r="AF25" s="23" t="n"/>
      <c r="AG25" s="23" t="n"/>
      <c r="AH25" s="25" t="n"/>
      <c r="AI25" s="23" t="n"/>
      <c r="AJ25" s="23" t="n"/>
      <c r="AK25" s="23" t="n"/>
      <c r="AL25" s="23" t="n"/>
      <c r="AM25" s="24" t="n"/>
      <c r="AN25" s="23" t="n"/>
      <c r="AO25" s="23" t="n"/>
      <c r="AP25" s="23" t="n"/>
      <c r="AQ25" s="23" t="n"/>
      <c r="AR25" s="25" t="n"/>
      <c r="AS25" s="23" t="n"/>
      <c r="AT25" s="23" t="n"/>
      <c r="AU25" s="23" t="n"/>
      <c r="AV25" s="23" t="n"/>
      <c r="AW25" s="24" t="n"/>
      <c r="AX25" s="23" t="n"/>
      <c r="AY25" s="23" t="n"/>
      <c r="AZ25" s="23" t="n"/>
      <c r="BA25" s="23" t="n"/>
      <c r="BB25" s="25" t="n"/>
      <c r="BC25" s="23" t="n"/>
      <c r="BD25" s="23" t="n"/>
      <c r="BE25" s="23" t="n"/>
      <c r="BF25" s="23" t="n"/>
    </row>
    <row r="26" ht="16" customHeight="1">
      <c r="A26" s="4" t="inlineStr">
        <is>
          <t>5.3</t>
        </is>
      </c>
      <c r="B26" s="5" t="inlineStr">
        <is>
          <t>Счета и платежи</t>
        </is>
      </c>
      <c r="C26" s="5" t="inlineStr">
        <is>
          <t>исключён</t>
        </is>
      </c>
      <c r="D26" s="4" t="inlineStr">
        <is>
          <t>—</t>
        </is>
      </c>
      <c r="E26" s="4" t="inlineStr">
        <is>
          <t>—</t>
        </is>
      </c>
      <c r="F26" s="23" t="n"/>
      <c r="G26" s="23" t="n"/>
      <c r="H26" s="23" t="n"/>
      <c r="I26" s="23" t="n"/>
      <c r="J26" s="24" t="n"/>
      <c r="K26" s="23" t="n"/>
      <c r="L26" s="23" t="n"/>
      <c r="M26" s="23" t="n"/>
      <c r="N26" s="23" t="n"/>
      <c r="O26" s="25" t="n"/>
      <c r="P26" s="23" t="n"/>
      <c r="Q26" s="23" t="n"/>
      <c r="R26" s="23" t="n"/>
      <c r="S26" s="24" t="n"/>
      <c r="T26" s="23" t="n"/>
      <c r="U26" s="23" t="n"/>
      <c r="V26" s="23" t="n"/>
      <c r="W26" s="23" t="n"/>
      <c r="X26" s="25" t="n"/>
      <c r="Y26" s="23" t="n"/>
      <c r="Z26" s="23" t="n"/>
      <c r="AA26" s="23" t="n"/>
      <c r="AB26" s="23" t="n"/>
      <c r="AC26" s="24" t="n"/>
      <c r="AD26" s="23" t="n"/>
      <c r="AE26" s="23" t="n"/>
      <c r="AF26" s="23" t="n"/>
      <c r="AG26" s="23" t="n"/>
      <c r="AH26" s="25" t="n"/>
      <c r="AI26" s="23" t="n"/>
      <c r="AJ26" s="23" t="n"/>
      <c r="AK26" s="23" t="n"/>
      <c r="AL26" s="23" t="n"/>
      <c r="AM26" s="24" t="n"/>
      <c r="AN26" s="23" t="n"/>
      <c r="AO26" s="23" t="n"/>
      <c r="AP26" s="23" t="n"/>
      <c r="AQ26" s="23" t="n"/>
      <c r="AR26" s="25" t="n"/>
      <c r="AS26" s="23" t="n"/>
      <c r="AT26" s="23" t="n"/>
      <c r="AU26" s="23" t="n"/>
      <c r="AV26" s="23" t="n"/>
      <c r="AW26" s="24" t="n"/>
      <c r="AX26" s="23" t="n"/>
      <c r="AY26" s="23" t="n"/>
      <c r="AZ26" s="23" t="n"/>
      <c r="BA26" s="23" t="n"/>
      <c r="BB26" s="25" t="n"/>
      <c r="BC26" s="23" t="n"/>
      <c r="BD26" s="23" t="n"/>
      <c r="BE26" s="23" t="n"/>
      <c r="BF26" s="23" t="n"/>
    </row>
    <row r="27" ht="16" customHeight="1">
      <c r="A27" s="4" t="inlineStr">
        <is>
          <t>5.4</t>
        </is>
      </c>
      <c r="B27" s="5" t="inlineStr">
        <is>
          <t>Отчёты и напоминания (Could)</t>
        </is>
      </c>
      <c r="C27" s="5" t="inlineStr">
        <is>
          <t>исключён</t>
        </is>
      </c>
      <c r="D27" s="4" t="inlineStr">
        <is>
          <t>—</t>
        </is>
      </c>
      <c r="E27" s="4" t="inlineStr">
        <is>
          <t>—</t>
        </is>
      </c>
      <c r="F27" s="23" t="n"/>
      <c r="G27" s="23" t="n"/>
      <c r="H27" s="23" t="n"/>
      <c r="I27" s="23" t="n"/>
      <c r="J27" s="24" t="n"/>
      <c r="K27" s="23" t="n"/>
      <c r="L27" s="23" t="n"/>
      <c r="M27" s="23" t="n"/>
      <c r="N27" s="23" t="n"/>
      <c r="O27" s="25" t="n"/>
      <c r="P27" s="23" t="n"/>
      <c r="Q27" s="23" t="n"/>
      <c r="R27" s="23" t="n"/>
      <c r="S27" s="24" t="n"/>
      <c r="T27" s="23" t="n"/>
      <c r="U27" s="23" t="n"/>
      <c r="V27" s="23" t="n"/>
      <c r="W27" s="23" t="n"/>
      <c r="X27" s="25" t="n"/>
      <c r="Y27" s="23" t="n"/>
      <c r="Z27" s="23" t="n"/>
      <c r="AA27" s="23" t="n"/>
      <c r="AB27" s="23" t="n"/>
      <c r="AC27" s="24" t="n"/>
      <c r="AD27" s="23" t="n"/>
      <c r="AE27" s="23" t="n"/>
      <c r="AF27" s="23" t="n"/>
      <c r="AG27" s="23" t="n"/>
      <c r="AH27" s="25" t="n"/>
      <c r="AI27" s="23" t="n"/>
      <c r="AJ27" s="23" t="n"/>
      <c r="AK27" s="23" t="n"/>
      <c r="AL27" s="23" t="n"/>
      <c r="AM27" s="24" t="n"/>
      <c r="AN27" s="23" t="n"/>
      <c r="AO27" s="23" t="n"/>
      <c r="AP27" s="23" t="n"/>
      <c r="AQ27" s="23" t="n"/>
      <c r="AR27" s="25" t="n"/>
      <c r="AS27" s="23" t="n"/>
      <c r="AT27" s="23" t="n"/>
      <c r="AU27" s="23" t="n"/>
      <c r="AV27" s="23" t="n"/>
      <c r="AW27" s="24" t="n"/>
      <c r="AX27" s="23" t="n"/>
      <c r="AY27" s="23" t="n"/>
      <c r="AZ27" s="23" t="n"/>
      <c r="BA27" s="23" t="n"/>
      <c r="BB27" s="25" t="n"/>
      <c r="BC27" s="23" t="n"/>
      <c r="BD27" s="23" t="n"/>
      <c r="BE27" s="23" t="n"/>
      <c r="BF27" s="23" t="n"/>
    </row>
    <row r="28" ht="16" customHeight="1">
      <c r="A28" s="6" t="inlineStr">
        <is>
          <t>6.1</t>
        </is>
      </c>
      <c r="B28" s="7" t="inlineStr">
        <is>
          <t>Интеграция внешних сервисов (заглушки)</t>
        </is>
      </c>
      <c r="C28" s="26" t="inlineStr">
        <is>
          <t>Лопатин, Шунулин</t>
        </is>
      </c>
      <c r="D28" s="6" t="inlineStr">
        <is>
          <t>09.11</t>
        </is>
      </c>
      <c r="E28" s="6" t="inlineStr">
        <is>
          <t>20.11</t>
        </is>
      </c>
      <c r="F28" s="23" t="n"/>
      <c r="G28" s="23" t="n"/>
      <c r="H28" s="23" t="n"/>
      <c r="I28" s="23" t="n"/>
      <c r="J28" s="24" t="n"/>
      <c r="K28" s="23" t="n"/>
      <c r="L28" s="23" t="n"/>
      <c r="M28" s="23" t="n"/>
      <c r="N28" s="23" t="n"/>
      <c r="O28" s="25" t="n"/>
      <c r="P28" s="23" t="n"/>
      <c r="Q28" s="23" t="n"/>
      <c r="R28" s="23" t="n"/>
      <c r="S28" s="24" t="n"/>
      <c r="T28" s="28" t="n"/>
      <c r="U28" s="28" t="n"/>
      <c r="V28" s="28" t="n"/>
      <c r="W28" s="28" t="n"/>
      <c r="X28" s="35" t="n"/>
      <c r="Y28" s="28" t="n"/>
      <c r="Z28" s="28" t="n"/>
      <c r="AA28" s="28" t="n"/>
      <c r="AB28" s="28" t="n"/>
      <c r="AC28" s="27" t="n"/>
      <c r="AD28" s="23" t="n"/>
      <c r="AE28" s="23" t="n"/>
      <c r="AF28" s="23" t="n"/>
      <c r="AG28" s="23" t="n"/>
      <c r="AH28" s="25" t="n"/>
      <c r="AI28" s="23" t="n"/>
      <c r="AJ28" s="23" t="n"/>
      <c r="AK28" s="23" t="n"/>
      <c r="AL28" s="23" t="n"/>
      <c r="AM28" s="24" t="n"/>
      <c r="AN28" s="23" t="n"/>
      <c r="AO28" s="23" t="n"/>
      <c r="AP28" s="23" t="n"/>
      <c r="AQ28" s="23" t="n"/>
      <c r="AR28" s="25" t="n"/>
      <c r="AS28" s="23" t="n"/>
      <c r="AT28" s="23" t="n"/>
      <c r="AU28" s="23" t="n"/>
      <c r="AV28" s="23" t="n"/>
      <c r="AW28" s="24" t="n"/>
      <c r="AX28" s="23" t="n"/>
      <c r="AY28" s="23" t="n"/>
      <c r="AZ28" s="23" t="n"/>
      <c r="BA28" s="23" t="n"/>
      <c r="BB28" s="25" t="n"/>
      <c r="BC28" s="23" t="n"/>
      <c r="BD28" s="23" t="n"/>
      <c r="BE28" s="23" t="n"/>
      <c r="BF28" s="23" t="n"/>
    </row>
    <row r="29" ht="16" customHeight="1">
      <c r="A29" s="6" t="inlineStr">
        <is>
          <t>6.2</t>
        </is>
      </c>
      <c r="B29" s="7" t="inlineStr">
        <is>
          <t>Тестирование и исправление дефектов</t>
        </is>
      </c>
      <c r="C29" s="26" t="inlineStr">
        <is>
          <t>Сибирко, Шунулин</t>
        </is>
      </c>
      <c r="D29" s="6" t="inlineStr">
        <is>
          <t>05.11</t>
        </is>
      </c>
      <c r="E29" s="6" t="inlineStr">
        <is>
          <t>16.12</t>
        </is>
      </c>
      <c r="F29" s="23" t="n"/>
      <c r="G29" s="23" t="n"/>
      <c r="H29" s="23" t="n"/>
      <c r="I29" s="23" t="n"/>
      <c r="J29" s="24" t="n"/>
      <c r="K29" s="23" t="n"/>
      <c r="L29" s="23" t="n"/>
      <c r="M29" s="23" t="n"/>
      <c r="N29" s="23" t="n"/>
      <c r="O29" s="25" t="n"/>
      <c r="P29" s="23" t="n"/>
      <c r="Q29" s="23" t="n"/>
      <c r="R29" s="29" t="n"/>
      <c r="S29" s="30" t="n"/>
      <c r="T29" s="29" t="n"/>
      <c r="U29" s="29" t="n"/>
      <c r="V29" s="29" t="n"/>
      <c r="W29" s="29" t="n"/>
      <c r="X29" s="31" t="n"/>
      <c r="Y29" s="29" t="n"/>
      <c r="Z29" s="29" t="n"/>
      <c r="AA29" s="29" t="n"/>
      <c r="AB29" s="29" t="n"/>
      <c r="AC29" s="30" t="n"/>
      <c r="AD29" s="29" t="n"/>
      <c r="AE29" s="29" t="n"/>
      <c r="AF29" s="29" t="n"/>
      <c r="AG29" s="29" t="n"/>
      <c r="AH29" s="31" t="n"/>
      <c r="AI29" s="29" t="n"/>
      <c r="AJ29" s="29" t="n"/>
      <c r="AK29" s="29" t="n"/>
      <c r="AL29" s="29" t="n"/>
      <c r="AM29" s="30" t="n"/>
      <c r="AN29" s="29" t="n"/>
      <c r="AO29" s="29" t="n"/>
      <c r="AP29" s="29" t="n"/>
      <c r="AQ29" s="29" t="n"/>
      <c r="AR29" s="31" t="n"/>
      <c r="AS29" s="29" t="n"/>
      <c r="AT29" s="29" t="n"/>
      <c r="AU29" s="29" t="n"/>
      <c r="AV29" s="23" t="n"/>
      <c r="AW29" s="24" t="n"/>
      <c r="AX29" s="23" t="n"/>
      <c r="AY29" s="23" t="n"/>
      <c r="AZ29" s="23" t="n"/>
      <c r="BA29" s="23" t="n"/>
      <c r="BB29" s="25" t="n"/>
      <c r="BC29" s="23" t="n"/>
      <c r="BD29" s="23" t="n"/>
      <c r="BE29" s="23" t="n"/>
      <c r="BF29" s="23" t="n"/>
    </row>
    <row r="30" ht="16" customHeight="1">
      <c r="A30" s="6" t="inlineStr">
        <is>
          <t>6.3</t>
        </is>
      </c>
      <c r="B30" s="7" t="inlineStr">
        <is>
          <t>Демонстрации и приёмка</t>
        </is>
      </c>
      <c r="C30" s="26" t="inlineStr">
        <is>
          <t>Лопатин, Паноченко, Кодинцев, Нгуен, Сибирко, Шунулин, Горбов</t>
        </is>
      </c>
      <c r="D30" s="6" t="inlineStr">
        <is>
          <t>17.12</t>
        </is>
      </c>
      <c r="E30" s="6" t="inlineStr">
        <is>
          <t>18.12</t>
        </is>
      </c>
      <c r="F30" s="23" t="n"/>
      <c r="G30" s="23" t="n"/>
      <c r="H30" s="23" t="n"/>
      <c r="I30" s="23" t="n"/>
      <c r="J30" s="24" t="n"/>
      <c r="K30" s="23" t="n"/>
      <c r="L30" s="23" t="n"/>
      <c r="M30" s="23" t="n"/>
      <c r="N30" s="23" t="n"/>
      <c r="O30" s="25" t="n"/>
      <c r="P30" s="23" t="n"/>
      <c r="Q30" s="23" t="n"/>
      <c r="R30" s="23" t="n"/>
      <c r="S30" s="24" t="n"/>
      <c r="T30" s="23" t="n"/>
      <c r="U30" s="23" t="n"/>
      <c r="V30" s="23" t="n"/>
      <c r="W30" s="23" t="n"/>
      <c r="X30" s="25" t="n"/>
      <c r="Y30" s="23" t="n"/>
      <c r="Z30" s="23" t="n"/>
      <c r="AA30" s="23" t="n"/>
      <c r="AB30" s="23" t="n"/>
      <c r="AC30" s="24" t="n"/>
      <c r="AD30" s="23" t="n"/>
      <c r="AE30" s="23" t="n"/>
      <c r="AF30" s="23" t="n"/>
      <c r="AG30" s="23" t="n"/>
      <c r="AH30" s="25" t="n"/>
      <c r="AI30" s="23" t="n"/>
      <c r="AJ30" s="23" t="n"/>
      <c r="AK30" s="23" t="n"/>
      <c r="AL30" s="23" t="n"/>
      <c r="AM30" s="24" t="n"/>
      <c r="AN30" s="23" t="n"/>
      <c r="AO30" s="23" t="n"/>
      <c r="AP30" s="23" t="n"/>
      <c r="AQ30" s="23" t="n"/>
      <c r="AR30" s="25" t="n"/>
      <c r="AS30" s="23" t="n"/>
      <c r="AT30" s="23" t="n"/>
      <c r="AU30" s="23" t="n"/>
      <c r="AV30" s="32" t="n"/>
      <c r="AW30" s="33" t="n"/>
      <c r="AX30" s="36" t="n"/>
      <c r="AY30" s="36" t="n"/>
      <c r="AZ30" s="36" t="n"/>
      <c r="BA30" s="36" t="n"/>
      <c r="BB30" s="37" t="n"/>
      <c r="BC30" s="23" t="n"/>
      <c r="BD30" s="23" t="n"/>
      <c r="BE30" s="23" t="n"/>
      <c r="BF30" s="23" t="n"/>
    </row>
    <row r="31" ht="16" customHeight="1">
      <c r="A31" s="6" t="inlineStr">
        <is>
          <t>6.4</t>
        </is>
      </c>
      <c r="B31" s="7" t="inlineStr">
        <is>
          <t>Документация и приёмочные материалы</t>
        </is>
      </c>
      <c r="C31" s="26" t="inlineStr">
        <is>
          <t>Шунулин, Лопатин</t>
        </is>
      </c>
      <c r="D31" s="6" t="inlineStr">
        <is>
          <t>04.12</t>
        </is>
      </c>
      <c r="E31" s="6" t="inlineStr">
        <is>
          <t>14.12</t>
        </is>
      </c>
      <c r="F31" s="23" t="n"/>
      <c r="G31" s="23" t="n"/>
      <c r="H31" s="23" t="n"/>
      <c r="I31" s="23" t="n"/>
      <c r="J31" s="24" t="n"/>
      <c r="K31" s="23" t="n"/>
      <c r="L31" s="23" t="n"/>
      <c r="M31" s="23" t="n"/>
      <c r="N31" s="23" t="n"/>
      <c r="O31" s="25" t="n"/>
      <c r="P31" s="23" t="n"/>
      <c r="Q31" s="23" t="n"/>
      <c r="R31" s="23" t="n"/>
      <c r="S31" s="24" t="n"/>
      <c r="T31" s="23" t="n"/>
      <c r="U31" s="23" t="n"/>
      <c r="V31" s="23" t="n"/>
      <c r="W31" s="23" t="n"/>
      <c r="X31" s="25" t="n"/>
      <c r="Y31" s="23" t="n"/>
      <c r="Z31" s="23" t="n"/>
      <c r="AA31" s="23" t="n"/>
      <c r="AB31" s="23" t="n"/>
      <c r="AC31" s="24" t="n"/>
      <c r="AD31" s="23" t="n"/>
      <c r="AE31" s="23" t="n"/>
      <c r="AF31" s="23" t="n"/>
      <c r="AG31" s="23" t="n"/>
      <c r="AH31" s="25" t="n"/>
      <c r="AI31" s="23" t="n"/>
      <c r="AJ31" s="23" t="n"/>
      <c r="AK31" s="23" t="n"/>
      <c r="AL31" s="23" t="n"/>
      <c r="AM31" s="27" t="n"/>
      <c r="AN31" s="28" t="n"/>
      <c r="AO31" s="28" t="n"/>
      <c r="AP31" s="28" t="n"/>
      <c r="AQ31" s="28" t="n"/>
      <c r="AR31" s="35" t="n"/>
      <c r="AS31" s="28" t="n"/>
      <c r="AT31" s="23" t="n"/>
      <c r="AU31" s="23" t="n"/>
      <c r="AV31" s="23" t="n"/>
      <c r="AW31" s="24" t="n"/>
      <c r="AX31" s="23" t="n"/>
      <c r="AY31" s="23" t="n"/>
      <c r="AZ31" s="23" t="n"/>
      <c r="BA31" s="23" t="n"/>
      <c r="BB31" s="25" t="n"/>
      <c r="BC31" s="23" t="n"/>
      <c r="BD31" s="23" t="n"/>
      <c r="BE31" s="23" t="n"/>
      <c r="BF31" s="23" t="n"/>
    </row>
    <row r="33">
      <c r="B33" s="16" t="inlineStr">
        <is>
          <t>Жирная линия — последний рабочий день перед парой: Фаза 4 31.10, В1 14.11, В2 28.11, В3 12.12, В4 26.12.</t>
        </is>
      </c>
    </row>
  </sheetData>
  <mergeCells count="17">
    <mergeCell ref="D4:D6"/>
    <mergeCell ref="T4:X4"/>
    <mergeCell ref="Y4:AC4"/>
    <mergeCell ref="AS4:AW4"/>
    <mergeCell ref="AI4:AM4"/>
    <mergeCell ref="A4:A6"/>
    <mergeCell ref="AX4:BB4"/>
    <mergeCell ref="B4:B6"/>
    <mergeCell ref="AN4:AR4"/>
    <mergeCell ref="E4:E6"/>
    <mergeCell ref="BC4:BF4"/>
    <mergeCell ref="P4:S4"/>
    <mergeCell ref="AD4:AH4"/>
    <mergeCell ref="A2:BF2"/>
    <mergeCell ref="K4:O4"/>
    <mergeCell ref="C4:C6"/>
    <mergeCell ref="F4:J4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4" customWidth="1" min="3" max="3"/>
    <col width="9" customWidth="1" min="4" max="4"/>
    <col width="9" customWidth="1" min="5" max="5"/>
    <col width="12" customWidth="1" min="6" max="6"/>
    <col width="9" customWidth="1" min="7" max="7"/>
    <col width="10" customWidth="1" min="8" max="8"/>
    <col width="11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Ресурсы (вариант Б)</t>
        </is>
      </c>
    </row>
    <row r="3" ht="48" customHeight="1">
      <c r="A3" s="3" t="inlineStr">
        <is>
          <t>Код</t>
        </is>
      </c>
      <c r="B3" s="3" t="inlineStr">
        <is>
          <t>Участник</t>
        </is>
      </c>
      <c r="C3" s="3" t="inlineStr">
        <is>
          <t>Роль</t>
        </is>
      </c>
      <c r="D3" s="3" t="inlineStr">
        <is>
          <t>Ч/нед по уставу</t>
        </is>
      </c>
      <c r="E3" s="3" t="inlineStr">
        <is>
          <t>Ч/нед в плане</t>
        </is>
      </c>
      <c r="F3" s="3" t="inlineStr">
        <is>
          <t>Из них на гамаки</t>
        </is>
      </c>
      <c r="G3" s="3" t="inlineStr">
        <is>
          <t>Ставка, USD/ч</t>
        </is>
      </c>
      <c r="H3" s="3" t="inlineStr">
        <is>
          <t>Часов по плану с 19.10</t>
        </is>
      </c>
      <c r="I3" s="3" t="inlineStr">
        <is>
          <t>Фонд 19.10–31.12, ч</t>
        </is>
      </c>
      <c r="J3" s="3" t="inlineStr">
        <is>
          <t>Загрузка</t>
        </is>
      </c>
      <c r="K3" s="3" t="inlineStr">
        <is>
          <t>Стоимость с 19.10, USD</t>
        </is>
      </c>
    </row>
    <row r="4">
      <c r="A4" s="6" t="inlineStr">
        <is>
          <t>PM</t>
        </is>
      </c>
      <c r="B4" s="7" t="inlineStr">
        <is>
          <t>Лопатин Д.И.</t>
        </is>
      </c>
      <c r="C4" s="7" t="inlineStr">
        <is>
          <t>руководитель проекта</t>
        </is>
      </c>
      <c r="D4" s="38" t="n">
        <v>10</v>
      </c>
      <c r="E4" s="38" t="n">
        <v>12</v>
      </c>
      <c r="F4" s="39" t="n">
        <v>4</v>
      </c>
      <c r="G4" s="38" t="n">
        <v>60</v>
      </c>
      <c r="H4" s="8" t="n">
        <v>98.13500007635723</v>
      </c>
      <c r="I4" s="8" t="n">
        <v>127.2</v>
      </c>
      <c r="J4" s="40" t="n">
        <v>0.7715015729273367</v>
      </c>
      <c r="K4" s="41" t="n">
        <v>5888.100004581433</v>
      </c>
    </row>
    <row r="5">
      <c r="A5" s="6" t="inlineStr">
        <is>
          <t>BA</t>
        </is>
      </c>
      <c r="B5" s="7" t="inlineStr">
        <is>
          <t>Паноченко В.В.</t>
        </is>
      </c>
      <c r="C5" s="7" t="inlineStr">
        <is>
          <t>бизнес-аналитик</t>
        </is>
      </c>
      <c r="D5" s="38" t="n">
        <v>8</v>
      </c>
      <c r="E5" s="38" t="n">
        <v>10</v>
      </c>
      <c r="F5" s="39" t="n">
        <v>1</v>
      </c>
      <c r="G5" s="38" t="n">
        <v>55</v>
      </c>
      <c r="H5" s="8" t="n">
        <v>83.62418589125436</v>
      </c>
      <c r="I5" s="8" t="n">
        <v>106</v>
      </c>
      <c r="J5" s="40" t="n">
        <v>0.7889074140684373</v>
      </c>
      <c r="K5" s="41" t="n">
        <v>4599.33022401899</v>
      </c>
    </row>
    <row r="6">
      <c r="A6" s="6" t="inlineStr">
        <is>
          <t>UX1</t>
        </is>
      </c>
      <c r="B6" s="7" t="inlineStr">
        <is>
          <t>Кодинцев А.В.</t>
        </is>
      </c>
      <c r="C6" s="7" t="inlineStr">
        <is>
          <t>UX/UI-дизайнер</t>
        </is>
      </c>
      <c r="D6" s="38" t="n">
        <v>10</v>
      </c>
      <c r="E6" s="38" t="n">
        <v>12</v>
      </c>
      <c r="F6" s="39" t="n">
        <v>0</v>
      </c>
      <c r="G6" s="38" t="n">
        <v>60</v>
      </c>
      <c r="H6" s="8" t="n">
        <v>103.0286827926172</v>
      </c>
      <c r="I6" s="8" t="n">
        <v>127.2</v>
      </c>
      <c r="J6" s="40" t="n">
        <v>0.809973921325607</v>
      </c>
      <c r="K6" s="41" t="n">
        <v>6181.720967557032</v>
      </c>
    </row>
    <row r="7">
      <c r="A7" s="6" t="inlineStr">
        <is>
          <t>UX2</t>
        </is>
      </c>
      <c r="B7" s="7" t="inlineStr">
        <is>
          <t>Нгуен Д.В.</t>
        </is>
      </c>
      <c r="C7" s="7" t="inlineStr">
        <is>
          <t>UX/UI-дизайнер</t>
        </is>
      </c>
      <c r="D7" s="38" t="n">
        <v>8</v>
      </c>
      <c r="E7" s="38" t="n">
        <v>10</v>
      </c>
      <c r="F7" s="39" t="n">
        <v>0</v>
      </c>
      <c r="G7" s="38" t="n">
        <v>60</v>
      </c>
      <c r="H7" s="8" t="n">
        <v>81.35723566051435</v>
      </c>
      <c r="I7" s="8" t="n">
        <v>106</v>
      </c>
      <c r="J7" s="40" t="n">
        <v>0.7675210911369278</v>
      </c>
      <c r="K7" s="41" t="n">
        <v>4881.434139630861</v>
      </c>
    </row>
    <row r="8">
      <c r="A8" s="6" t="inlineStr">
        <is>
          <t>QA</t>
        </is>
      </c>
      <c r="B8" s="7" t="inlineStr">
        <is>
          <t>Сибирко И.С.</t>
        </is>
      </c>
      <c r="C8" s="7" t="inlineStr">
        <is>
          <t>тестировщик</t>
        </is>
      </c>
      <c r="D8" s="38" t="n">
        <v>6</v>
      </c>
      <c r="E8" s="38" t="n">
        <v>8</v>
      </c>
      <c r="F8" s="7" t="inlineStr">
        <is>
          <t>всё время с начала 3.1</t>
        </is>
      </c>
      <c r="G8" s="38" t="n">
        <v>45</v>
      </c>
      <c r="H8" s="8" t="n">
        <v>61.71609155871452</v>
      </c>
      <c r="I8" s="8" t="n">
        <v>84.8</v>
      </c>
      <c r="J8" s="40" t="n">
        <v>0.7277840985697467</v>
      </c>
      <c r="K8" s="41" t="n">
        <v>2777.224120142153</v>
      </c>
    </row>
    <row r="9">
      <c r="A9" s="6" t="inlineStr">
        <is>
          <t>TW</t>
        </is>
      </c>
      <c r="B9" s="7" t="inlineStr">
        <is>
          <t>Шунулин Р.А.</t>
        </is>
      </c>
      <c r="C9" s="7" t="inlineStr">
        <is>
          <t>технический редактор</t>
        </is>
      </c>
      <c r="D9" s="38" t="n">
        <v>6</v>
      </c>
      <c r="E9" s="38" t="n">
        <v>8</v>
      </c>
      <c r="F9" s="39" t="n">
        <v>2</v>
      </c>
      <c r="G9" s="38" t="n">
        <v>40</v>
      </c>
      <c r="H9" s="8" t="n">
        <v>53.17693435890156</v>
      </c>
      <c r="I9" s="8" t="n">
        <v>84.8</v>
      </c>
      <c r="J9" s="40" t="n">
        <v>0.6270864900813864</v>
      </c>
      <c r="K9" s="41" t="n">
        <v>2127.077374356063</v>
      </c>
    </row>
    <row r="10">
      <c r="A10" s="6" t="inlineStr">
        <is>
          <t>BE</t>
        </is>
      </c>
      <c r="B10" s="7" t="inlineStr">
        <is>
          <t>Горбов Н.В.</t>
        </is>
      </c>
      <c r="C10" s="7" t="inlineStr">
        <is>
          <t>разработчик серверной части</t>
        </is>
      </c>
      <c r="D10" s="38" t="n">
        <v>6</v>
      </c>
      <c r="E10" s="38" t="n">
        <v>8</v>
      </c>
      <c r="F10" s="39" t="n">
        <v>0</v>
      </c>
      <c r="G10" s="38" t="n">
        <v>55</v>
      </c>
      <c r="H10" s="8" t="n">
        <v>65.59414814265344</v>
      </c>
      <c r="I10" s="8" t="n">
        <v>84.8</v>
      </c>
      <c r="J10" s="40" t="n">
        <v>0.7735158979086491</v>
      </c>
      <c r="K10" s="41" t="n">
        <v>3607.678147845939</v>
      </c>
    </row>
    <row r="11">
      <c r="A11" s="7" t="inlineStr"/>
      <c r="B11" s="42" t="inlineStr">
        <is>
          <t>Итого</t>
        </is>
      </c>
      <c r="C11" s="7" t="inlineStr"/>
      <c r="D11" s="43">
        <f>SUM(D4:D10)</f>
        <v>54.0</v>
      </c>
      <c r="E11" s="43">
        <f>SUM(E4:E10)</f>
        <v>68.0</v>
      </c>
      <c r="F11" s="7" t="inlineStr"/>
      <c r="G11" s="7" t="inlineStr"/>
      <c r="H11" s="44">
        <f>SUM(H4:H10)</f>
        <v>546.6322784810127</v>
      </c>
      <c r="I11" s="44">
        <f>SUM(I4:I10)</f>
        <v>720.7999999999998</v>
      </c>
      <c r="J11" s="45">
        <f>H11/I11</f>
        <v>0.7583688658171653</v>
      </c>
      <c r="K11" s="46">
        <f>SUM(K4:K10)</f>
        <v>30062.564978132472</v>
      </c>
    </row>
    <row r="13">
      <c r="A13" s="15" t="inlineStr">
        <is>
          <t>Часы по пакетам и исполнителям (остаток работ с 19.10.2026)</t>
        </is>
      </c>
    </row>
    <row r="14" ht="48" customHeight="1">
      <c r="A14" s="3" t="inlineStr">
        <is>
          <t>№</t>
        </is>
      </c>
      <c r="B14" s="3" t="inlineStr">
        <is>
          <t>Пакет работ</t>
        </is>
      </c>
      <c r="C14" s="3" t="inlineStr">
        <is>
          <t>Тип</t>
        </is>
      </c>
      <c r="D14" s="3" t="inlineStr">
        <is>
          <t>PM</t>
        </is>
      </c>
      <c r="E14" s="3" t="inlineStr">
        <is>
          <t>BA</t>
        </is>
      </c>
      <c r="F14" s="3" t="inlineStr">
        <is>
          <t>UX1</t>
        </is>
      </c>
      <c r="G14" s="3" t="inlineStr">
        <is>
          <t>UX2</t>
        </is>
      </c>
      <c r="H14" s="3" t="inlineStr">
        <is>
          <t>QA</t>
        </is>
      </c>
      <c r="I14" s="3" t="inlineStr">
        <is>
          <t>TW</t>
        </is>
      </c>
      <c r="J14" s="3" t="inlineStr">
        <is>
          <t>BE</t>
        </is>
      </c>
      <c r="K14" s="3" t="inlineStr">
        <is>
          <t>Итого ост., ч</t>
        </is>
      </c>
      <c r="L14" s="3" t="inlineStr">
        <is>
          <t>Выполнено до 17.10, ч</t>
        </is>
      </c>
      <c r="M14" s="3" t="inlineStr">
        <is>
          <t>Стоимость пакета, USD</t>
        </is>
      </c>
    </row>
    <row r="15">
      <c r="A15" s="6" t="inlineStr">
        <is>
          <t>1.1</t>
        </is>
      </c>
      <c r="B15" s="7" t="inlineStr">
        <is>
          <t>Инициация проекта</t>
        </is>
      </c>
      <c r="C15" s="6" t="inlineStr">
        <is>
          <t>выполнена</t>
        </is>
      </c>
      <c r="D15" s="8" t="n"/>
      <c r="E15" s="8" t="n"/>
      <c r="F15" s="8" t="n"/>
      <c r="G15" s="8" t="n"/>
      <c r="H15" s="8" t="n"/>
      <c r="I15" s="8" t="n"/>
      <c r="J15" s="8" t="n"/>
      <c r="K15" s="8">
        <f>SUM(D15:J15)</f>
        <v>0.0</v>
      </c>
      <c r="L15" s="8" t="n">
        <v>18.66666666666667</v>
      </c>
      <c r="M15" s="41" t="n">
        <v>995.5555555555557</v>
      </c>
    </row>
    <row r="16">
      <c r="A16" s="6" t="inlineStr">
        <is>
          <t>1.2</t>
        </is>
      </c>
      <c r="B16" s="7" t="inlineStr">
        <is>
          <t>Планирование проекта</t>
        </is>
      </c>
      <c r="C16" s="6" t="inlineStr">
        <is>
          <t>обычная</t>
        </is>
      </c>
      <c r="D16" s="8" t="n">
        <v>7.466666666666668</v>
      </c>
      <c r="E16" s="8" t="n"/>
      <c r="F16" s="8" t="n"/>
      <c r="G16" s="8" t="n"/>
      <c r="H16" s="8" t="n"/>
      <c r="I16" s="8" t="n">
        <v>5.600000000000001</v>
      </c>
      <c r="J16" s="8" t="n"/>
      <c r="K16" s="8">
        <f>SUM(D16:J16)</f>
        <v>13.066666666666668</v>
      </c>
      <c r="L16" s="8" t="n">
        <v>19.6</v>
      </c>
      <c r="M16" s="41" t="n">
        <v>1804.444444444444</v>
      </c>
    </row>
    <row r="17">
      <c r="A17" s="6" t="inlineStr">
        <is>
          <t>1.3</t>
        </is>
      </c>
      <c r="B17" s="7" t="inlineStr">
        <is>
          <t>Мониторинг и контроль</t>
        </is>
      </c>
      <c r="C17" s="6" t="inlineStr">
        <is>
          <t>гамак</t>
        </is>
      </c>
      <c r="D17" s="8" t="n">
        <v>38.24894514767932</v>
      </c>
      <c r="E17" s="8" t="n"/>
      <c r="F17" s="8" t="n"/>
      <c r="G17" s="8" t="n"/>
      <c r="H17" s="8" t="n"/>
      <c r="I17" s="8" t="n"/>
      <c r="J17" s="8" t="n"/>
      <c r="K17" s="8">
        <f>SUM(D17:J17)</f>
        <v>38.24894514767932</v>
      </c>
      <c r="L17" s="8" t="n">
        <v>23.41772151898734</v>
      </c>
      <c r="M17" s="41" t="n">
        <v>3700</v>
      </c>
    </row>
    <row r="18">
      <c r="A18" s="6" t="inlineStr">
        <is>
          <t>1.4</t>
        </is>
      </c>
      <c r="B18" s="7" t="inlineStr">
        <is>
          <t>Закрытие проекта</t>
        </is>
      </c>
      <c r="C18" s="6" t="inlineStr">
        <is>
          <t>обычная</t>
        </is>
      </c>
      <c r="D18" s="8" t="n">
        <v>7.6</v>
      </c>
      <c r="E18" s="8" t="n"/>
      <c r="F18" s="8" t="n"/>
      <c r="G18" s="8" t="n"/>
      <c r="H18" s="8" t="n"/>
      <c r="I18" s="8" t="n">
        <v>5.066666666666666</v>
      </c>
      <c r="J18" s="8" t="n"/>
      <c r="K18" s="8">
        <f>SUM(D18:J18)</f>
        <v>12.666666666666666</v>
      </c>
      <c r="L18" s="8" t="n"/>
      <c r="M18" s="41" t="n">
        <v>658.6666666666666</v>
      </c>
    </row>
    <row r="19">
      <c r="A19" s="6" t="inlineStr">
        <is>
          <t>2.1</t>
        </is>
      </c>
      <c r="B19" s="7" t="inlineStr">
        <is>
          <t>Сбор и анализ требований</t>
        </is>
      </c>
      <c r="C19" s="6" t="inlineStr">
        <is>
          <t>гамак</t>
        </is>
      </c>
      <c r="D19" s="8" t="n"/>
      <c r="E19" s="8" t="n">
        <v>8.65</v>
      </c>
      <c r="F19" s="8" t="n"/>
      <c r="G19" s="8" t="n"/>
      <c r="H19" s="8" t="n"/>
      <c r="I19" s="8" t="n"/>
      <c r="J19" s="8" t="n"/>
      <c r="K19" s="8">
        <f>SUM(D19:J19)</f>
        <v>8.65</v>
      </c>
      <c r="L19" s="8" t="n">
        <v>20.18333333333333</v>
      </c>
      <c r="M19" s="41" t="n">
        <v>1585.833333333333</v>
      </c>
    </row>
    <row r="20">
      <c r="A20" s="6" t="inlineStr">
        <is>
          <t>2.2</t>
        </is>
      </c>
      <c r="B20" s="7" t="inlineStr">
        <is>
          <t>Проектирование архитектуры и базы данных</t>
        </is>
      </c>
      <c r="C20" s="6" t="inlineStr">
        <is>
          <t>обычная</t>
        </is>
      </c>
      <c r="D20" s="8" t="n"/>
      <c r="E20" s="8" t="n">
        <v>16.41176470588235</v>
      </c>
      <c r="F20" s="8" t="n"/>
      <c r="G20" s="8" t="n"/>
      <c r="H20" s="8" t="n"/>
      <c r="I20" s="8" t="n"/>
      <c r="J20" s="8" t="n">
        <v>14.58823529411765</v>
      </c>
      <c r="K20" s="8">
        <f>SUM(D20:J20)</f>
        <v>31.0</v>
      </c>
      <c r="L20" s="8" t="n"/>
      <c r="M20" s="41" t="n">
        <v>1705</v>
      </c>
    </row>
    <row r="21">
      <c r="A21" s="6" t="inlineStr">
        <is>
          <t>2.3</t>
        </is>
      </c>
      <c r="B21" s="7" t="inlineStr">
        <is>
          <t>Проектирование пользовательского интерфейса</t>
        </is>
      </c>
      <c r="C21" s="6" t="inlineStr">
        <is>
          <t>обычная</t>
        </is>
      </c>
      <c r="D21" s="8" t="n"/>
      <c r="E21" s="8" t="n"/>
      <c r="F21" s="8" t="n">
        <v>19.54545454545455</v>
      </c>
      <c r="G21" s="8" t="n">
        <v>16.28787878787879</v>
      </c>
      <c r="H21" s="8" t="n"/>
      <c r="I21" s="8" t="n"/>
      <c r="J21" s="8" t="n"/>
      <c r="K21" s="8">
        <f>SUM(D21:J21)</f>
        <v>35.833333333333336</v>
      </c>
      <c r="L21" s="8" t="n"/>
      <c r="M21" s="41" t="n">
        <v>2150</v>
      </c>
    </row>
    <row r="22">
      <c r="A22" s="6" t="inlineStr">
        <is>
          <t>2.4</t>
        </is>
      </c>
      <c r="B22" s="7" t="inlineStr">
        <is>
          <t>Подготовка среды и инструментов</t>
        </is>
      </c>
      <c r="C22" s="6" t="inlineStr">
        <is>
          <t>обычная</t>
        </is>
      </c>
      <c r="D22" s="8" t="n">
        <v>6.060606060606061</v>
      </c>
      <c r="E22" s="8" t="n"/>
      <c r="F22" s="8" t="n"/>
      <c r="G22" s="8" t="n"/>
      <c r="H22" s="8" t="n">
        <v>6.060606060606061</v>
      </c>
      <c r="I22" s="8" t="n">
        <v>4.545454545454545</v>
      </c>
      <c r="J22" s="8" t="n"/>
      <c r="K22" s="8">
        <f>SUM(D22:J22)</f>
        <v>16.666666666666664</v>
      </c>
      <c r="L22" s="8" t="n"/>
      <c r="M22" s="41" t="n">
        <v>818.1818181818182</v>
      </c>
    </row>
    <row r="23">
      <c r="A23" s="6" t="inlineStr">
        <is>
          <t>2.5</t>
        </is>
      </c>
      <c r="B23" s="7" t="inlineStr">
        <is>
          <t>Подготовка демонстрационных данных</t>
        </is>
      </c>
      <c r="C23" s="6" t="inlineStr">
        <is>
          <t>обычная</t>
        </is>
      </c>
      <c r="D23" s="8" t="n"/>
      <c r="E23" s="8" t="n">
        <v>5.230769230769231</v>
      </c>
      <c r="F23" s="8" t="n">
        <v>6.974358974358974</v>
      </c>
      <c r="G23" s="8" t="n">
        <v>5.811965811965812</v>
      </c>
      <c r="H23" s="8" t="n">
        <v>4.64957264957265</v>
      </c>
      <c r="I23" s="8" t="n"/>
      <c r="J23" s="8" t="n"/>
      <c r="K23" s="8">
        <f>SUM(D23:J23)</f>
        <v>22.666666666666668</v>
      </c>
      <c r="L23" s="8" t="n"/>
      <c r="M23" s="41" t="n">
        <v>1264.102564102564</v>
      </c>
    </row>
    <row r="24">
      <c r="A24" s="6" t="inlineStr">
        <is>
          <t>3.1</t>
        </is>
      </c>
      <c r="B24" s="7" t="inlineStr">
        <is>
          <t>Реестр лошадей и карточка лошади</t>
        </is>
      </c>
      <c r="C24" s="6" t="inlineStr">
        <is>
          <t>обычная</t>
        </is>
      </c>
      <c r="D24" s="8" t="n"/>
      <c r="E24" s="8" t="n">
        <v>10.69230769230769</v>
      </c>
      <c r="F24" s="8" t="n">
        <v>14.25641025641025</v>
      </c>
      <c r="G24" s="8" t="n">
        <v>11.88034188034188</v>
      </c>
      <c r="H24" s="8" t="n"/>
      <c r="I24" s="8" t="n"/>
      <c r="J24" s="8" t="n">
        <v>9.504273504273504</v>
      </c>
      <c r="K24" s="8">
        <f>SUM(D24:J24)</f>
        <v>46.33333333333333</v>
      </c>
      <c r="L24" s="8" t="n"/>
      <c r="M24" s="41" t="n">
        <v>2679.017094017094</v>
      </c>
    </row>
    <row r="25">
      <c r="A25" s="6" t="inlineStr">
        <is>
          <t>3.2</t>
        </is>
      </c>
      <c r="B25" s="7" t="inlineStr">
        <is>
          <t>Размещение и перемещения</t>
        </is>
      </c>
      <c r="C25" s="6" t="inlineStr">
        <is>
          <t>обычная</t>
        </is>
      </c>
      <c r="D25" s="8" t="n"/>
      <c r="E25" s="8" t="n"/>
      <c r="F25" s="8" t="n">
        <v>18.6</v>
      </c>
      <c r="G25" s="8" t="n"/>
      <c r="H25" s="8" t="n"/>
      <c r="I25" s="8" t="n"/>
      <c r="J25" s="8" t="n">
        <v>12.4</v>
      </c>
      <c r="K25" s="8">
        <f>SUM(D25:J25)</f>
        <v>31.0</v>
      </c>
      <c r="L25" s="8" t="n"/>
      <c r="M25" s="41" t="n">
        <v>1798</v>
      </c>
    </row>
    <row r="26">
      <c r="A26" s="6" t="inlineStr">
        <is>
          <t>3.3</t>
        </is>
      </c>
      <c r="B26" s="7" t="inlineStr">
        <is>
          <t>Ввод записей о состоянии и происшествиях</t>
        </is>
      </c>
      <c r="C26" s="6" t="inlineStr">
        <is>
          <t>обычная</t>
        </is>
      </c>
      <c r="D26" s="8" t="n"/>
      <c r="E26" s="8" t="n">
        <v>9.789473684210527</v>
      </c>
      <c r="F26" s="8" t="n"/>
      <c r="G26" s="8" t="n">
        <v>10.87719298245614</v>
      </c>
      <c r="H26" s="8" t="n"/>
      <c r="I26" s="8" t="n"/>
      <c r="J26" s="8" t="n"/>
      <c r="K26" s="8">
        <f>SUM(D26:J26)</f>
        <v>20.66666666666667</v>
      </c>
      <c r="L26" s="8" t="n"/>
      <c r="M26" s="41" t="n">
        <v>1191.052631578948</v>
      </c>
    </row>
    <row r="27">
      <c r="A27" s="6" t="inlineStr">
        <is>
          <t>3.4</t>
        </is>
      </c>
      <c r="B27" s="7" t="inlineStr">
        <is>
          <t>Справка «История жеребца»</t>
        </is>
      </c>
      <c r="C27" s="6" t="inlineStr">
        <is>
          <t>обычная</t>
        </is>
      </c>
      <c r="D27" s="8" t="n"/>
      <c r="E27" s="8" t="n">
        <v>12.78947368421053</v>
      </c>
      <c r="F27" s="8" t="n"/>
      <c r="G27" s="8" t="n">
        <v>14.21052631578947</v>
      </c>
      <c r="H27" s="8" t="n"/>
      <c r="I27" s="8" t="n"/>
      <c r="J27" s="8" t="n"/>
      <c r="K27" s="8">
        <f>SUM(D27:J27)</f>
        <v>27.0</v>
      </c>
      <c r="L27" s="8" t="n"/>
      <c r="M27" s="41" t="n">
        <v>1556.052631578948</v>
      </c>
    </row>
    <row r="28">
      <c r="A28" s="6" t="inlineStr">
        <is>
          <t>3.5</t>
        </is>
      </c>
      <c r="B28" s="7" t="inlineStr">
        <is>
          <t>Справка «Перемещения и контакты»</t>
        </is>
      </c>
      <c r="C28" s="6" t="inlineStr">
        <is>
          <t>обычная</t>
        </is>
      </c>
      <c r="D28" s="8" t="n"/>
      <c r="E28" s="8" t="n"/>
      <c r="F28" s="8" t="n">
        <v>17.3</v>
      </c>
      <c r="G28" s="8" t="n"/>
      <c r="H28" s="8" t="n"/>
      <c r="I28" s="8" t="n"/>
      <c r="J28" s="8" t="n">
        <v>11.53333333333333</v>
      </c>
      <c r="K28" s="8">
        <f>SUM(D28:J28)</f>
        <v>28.83333333333333</v>
      </c>
      <c r="L28" s="8" t="n"/>
      <c r="M28" s="41" t="n">
        <v>1672.333333333333</v>
      </c>
    </row>
    <row r="29">
      <c r="A29" s="6" t="inlineStr">
        <is>
          <t>4.1</t>
        </is>
      </c>
      <c r="B29" s="7" t="inlineStr">
        <is>
          <t>Формализация правил совместимости</t>
        </is>
      </c>
      <c r="C29" s="6" t="inlineStr">
        <is>
          <t>обычная</t>
        </is>
      </c>
      <c r="D29" s="8" t="n">
        <v>8.380952380952381</v>
      </c>
      <c r="E29" s="8" t="n"/>
      <c r="F29" s="8" t="n"/>
      <c r="G29" s="8" t="n"/>
      <c r="H29" s="8" t="n"/>
      <c r="I29" s="8" t="n">
        <v>6.285714285714286</v>
      </c>
      <c r="J29" s="8" t="n"/>
      <c r="K29" s="8">
        <f>SUM(D29:J29)</f>
        <v>14.666666666666668</v>
      </c>
      <c r="L29" s="8" t="n"/>
      <c r="M29" s="41" t="n">
        <v>754.2857142857143</v>
      </c>
    </row>
    <row r="30">
      <c r="A30" s="6" t="inlineStr">
        <is>
          <t>4.2</t>
        </is>
      </c>
      <c r="B30" s="7" t="inlineStr">
        <is>
          <t>Проверка совместимости пар</t>
        </is>
      </c>
      <c r="C30" s="6" t="inlineStr">
        <is>
          <t>обычная</t>
        </is>
      </c>
      <c r="D30" s="8" t="n"/>
      <c r="E30" s="8" t="n"/>
      <c r="F30" s="8" t="n">
        <v>21.5</v>
      </c>
      <c r="G30" s="8" t="n"/>
      <c r="H30" s="8" t="n"/>
      <c r="I30" s="8" t="n"/>
      <c r="J30" s="8" t="n">
        <v>14.33333333333334</v>
      </c>
      <c r="K30" s="8">
        <f>SUM(D30:J30)</f>
        <v>35.833333333333336</v>
      </c>
      <c r="L30" s="8" t="n"/>
      <c r="M30" s="41" t="n">
        <v>2078.333333333333</v>
      </c>
    </row>
    <row r="31">
      <c r="A31" s="6" t="inlineStr">
        <is>
          <t>5.1</t>
        </is>
      </c>
      <c r="B31" s="7" t="inlineStr">
        <is>
          <t>Кабинет клиента и заявки</t>
        </is>
      </c>
      <c r="C31" s="6" t="inlineStr">
        <is>
          <t>обычная</t>
        </is>
      </c>
      <c r="D31" s="8" t="n"/>
      <c r="E31" s="8" t="n">
        <v>16.42105263157895</v>
      </c>
      <c r="F31" s="8" t="n"/>
      <c r="G31" s="8" t="n">
        <v>18.24561403508772</v>
      </c>
      <c r="H31" s="8" t="n"/>
      <c r="I31" s="8" t="n"/>
      <c r="J31" s="8" t="n"/>
      <c r="K31" s="8">
        <f>SUM(D31:J31)</f>
        <v>34.66666666666667</v>
      </c>
      <c r="L31" s="8" t="n"/>
      <c r="M31" s="41" t="n">
        <v>1997.894736842105</v>
      </c>
    </row>
    <row r="32">
      <c r="A32" s="6" t="inlineStr">
        <is>
          <t>6.1</t>
        </is>
      </c>
      <c r="B32" s="7" t="inlineStr">
        <is>
          <t>Интеграция внешних сервисов (заглушки)</t>
        </is>
      </c>
      <c r="C32" s="6" t="inlineStr">
        <is>
          <t>обычная</t>
        </is>
      </c>
      <c r="D32" s="8" t="n">
        <v>16.47619047619048</v>
      </c>
      <c r="E32" s="8" t="n"/>
      <c r="F32" s="8" t="n"/>
      <c r="G32" s="8" t="n"/>
      <c r="H32" s="8" t="n"/>
      <c r="I32" s="8" t="n">
        <v>12.35714285714286</v>
      </c>
      <c r="J32" s="8" t="n"/>
      <c r="K32" s="8">
        <f>SUM(D32:J32)</f>
        <v>28.833333333333336</v>
      </c>
      <c r="L32" s="8" t="n"/>
      <c r="M32" s="41" t="n">
        <v>1482.857142857143</v>
      </c>
    </row>
    <row r="33">
      <c r="A33" s="6" t="inlineStr">
        <is>
          <t>6.2</t>
        </is>
      </c>
      <c r="B33" s="7" t="inlineStr">
        <is>
          <t>Тестирование и исправление дефектов</t>
        </is>
      </c>
      <c r="C33" s="6" t="inlineStr">
        <is>
          <t>гамак</t>
        </is>
      </c>
      <c r="D33" s="8" t="n"/>
      <c r="E33" s="8" t="n"/>
      <c r="F33" s="8" t="n"/>
      <c r="G33" s="8" t="n"/>
      <c r="H33" s="8" t="n">
        <v>47.77094017094018</v>
      </c>
      <c r="I33" s="8" t="n">
        <v>8.895726495726485</v>
      </c>
      <c r="J33" s="8" t="n"/>
      <c r="K33" s="8">
        <f>SUM(D33:J33)</f>
        <v>56.666666666666664</v>
      </c>
      <c r="L33" s="8" t="n"/>
      <c r="M33" s="41" t="n">
        <v>2505.521367521368</v>
      </c>
    </row>
    <row r="34">
      <c r="A34" s="6" t="inlineStr">
        <is>
          <t>6.3</t>
        </is>
      </c>
      <c r="B34" s="7" t="inlineStr">
        <is>
          <t>Демонстрации и приёмка</t>
        </is>
      </c>
      <c r="C34" s="6" t="inlineStr">
        <is>
          <t>обычная</t>
        </is>
      </c>
      <c r="D34" s="8" t="n">
        <v>3.234972677595628</v>
      </c>
      <c r="E34" s="8" t="n">
        <v>3.639344262295082</v>
      </c>
      <c r="F34" s="8" t="n">
        <v>4.852459016393443</v>
      </c>
      <c r="G34" s="8" t="n">
        <v>4.043715846994536</v>
      </c>
      <c r="H34" s="8" t="n">
        <v>3.234972677595628</v>
      </c>
      <c r="I34" s="8" t="n">
        <v>2.426229508196721</v>
      </c>
      <c r="J34" s="8" t="n">
        <v>3.234972677595628</v>
      </c>
      <c r="K34" s="8">
        <f>SUM(D34:J34)</f>
        <v>24.666666666666664</v>
      </c>
      <c r="L34" s="8" t="n"/>
      <c r="M34" s="41" t="n">
        <v>1348.579234972678</v>
      </c>
    </row>
    <row r="35">
      <c r="A35" s="6" t="inlineStr">
        <is>
          <t>6.4</t>
        </is>
      </c>
      <c r="B35" s="7" t="inlineStr">
        <is>
          <t>Документация и приёмочные материалы</t>
        </is>
      </c>
      <c r="C35" s="6" t="inlineStr">
        <is>
          <t>обычная</t>
        </is>
      </c>
      <c r="D35" s="8" t="n">
        <v>10.66666666666667</v>
      </c>
      <c r="E35" s="8" t="n"/>
      <c r="F35" s="8" t="n"/>
      <c r="G35" s="8" t="n"/>
      <c r="H35" s="8" t="n"/>
      <c r="I35" s="8" t="n">
        <v>8.000000000000002</v>
      </c>
      <c r="J35" s="8" t="n"/>
      <c r="K35" s="8">
        <f>SUM(D35:J35)</f>
        <v>18.66666666666667</v>
      </c>
      <c r="L35" s="8" t="n"/>
      <c r="M35" s="41" t="n">
        <v>960.0000000000002</v>
      </c>
    </row>
    <row r="36">
      <c r="A36" s="7" t="inlineStr"/>
      <c r="B36" s="42" t="inlineStr">
        <is>
          <t>Итого</t>
        </is>
      </c>
      <c r="C36" s="7" t="inlineStr"/>
      <c r="D36" s="44">
        <f>SUM(D15:D35)</f>
        <v>98.13500007635723</v>
      </c>
      <c r="E36" s="44">
        <f>SUM(E15:E35)</f>
        <v>83.62418589125436</v>
      </c>
      <c r="F36" s="44">
        <f>SUM(F15:F35)</f>
        <v>103.0286827926172</v>
      </c>
      <c r="G36" s="44">
        <f>SUM(G15:G35)</f>
        <v>81.35723566051435</v>
      </c>
      <c r="H36" s="44">
        <f>SUM(H15:H35)</f>
        <v>61.71609155871452</v>
      </c>
      <c r="I36" s="44">
        <f>SUM(I15:I35)</f>
        <v>53.17693435890156</v>
      </c>
      <c r="J36" s="44">
        <f>SUM(J15:J35)</f>
        <v>65.59414814265344</v>
      </c>
      <c r="K36" s="44">
        <f>SUM(K15:K35)</f>
        <v>546.6322784810126</v>
      </c>
      <c r="L36" s="44">
        <f>SUM(L15:L35)</f>
        <v>81.86772151898734</v>
      </c>
      <c r="M36" s="46">
        <f>SUM(M15:M35)</f>
        <v>34705.71160260504</v>
      </c>
    </row>
    <row r="38">
      <c r="A38" s="16" t="inlineStr">
        <is>
          <t>Стоимость пакета = часы исполнителей × ставки, включая выполненную часть. С резервом 10%: 38 177 USD.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22" customHeight="1">
      <c r="A1" s="1" t="inlineStr">
        <is>
          <t>Загрузка по неделям, % от недельного фонда</t>
        </is>
      </c>
    </row>
    <row r="2" ht="18" customHeight="1">
      <c r="A2" s="2" t="inlineStr">
        <is>
          <t>«До» — работы начинаются в раннее начало по сети, «после» — по расписанию.</t>
        </is>
      </c>
    </row>
    <row r="4" ht="22" customHeight="1">
      <c r="A4" s="3" t="inlineStr">
        <is>
          <t>Участник</t>
        </is>
      </c>
      <c r="B4" s="3" t="inlineStr">
        <is>
          <t>Ч/нед</t>
        </is>
      </c>
      <c r="C4" s="3" t="inlineStr"/>
      <c r="D4" s="3" t="inlineStr">
        <is>
          <t>19.10</t>
        </is>
      </c>
      <c r="E4" s="3" t="inlineStr">
        <is>
          <t>26.10</t>
        </is>
      </c>
      <c r="F4" s="3" t="inlineStr">
        <is>
          <t>02.11</t>
        </is>
      </c>
      <c r="G4" s="3" t="inlineStr">
        <is>
          <t>09.11</t>
        </is>
      </c>
      <c r="H4" s="3" t="inlineStr">
        <is>
          <t>16.11</t>
        </is>
      </c>
      <c r="I4" s="3" t="inlineStr">
        <is>
          <t>23.11</t>
        </is>
      </c>
      <c r="J4" s="3" t="inlineStr">
        <is>
          <t>30.11</t>
        </is>
      </c>
      <c r="K4" s="3" t="inlineStr">
        <is>
          <t>07.12</t>
        </is>
      </c>
      <c r="L4" s="3" t="inlineStr">
        <is>
          <t>14.12</t>
        </is>
      </c>
      <c r="M4" s="3" t="inlineStr">
        <is>
          <t>21.12</t>
        </is>
      </c>
      <c r="N4" s="3" t="inlineStr">
        <is>
          <t>28.12</t>
        </is>
      </c>
      <c r="O4" s="3" t="inlineStr">
        <is>
          <t>Макс.</t>
        </is>
      </c>
    </row>
    <row r="5">
      <c r="A5" s="7" t="inlineStr">
        <is>
          <t>Лопатин Д.И.</t>
        </is>
      </c>
      <c r="B5" s="38" t="n">
        <v>12</v>
      </c>
      <c r="C5" s="6" t="inlineStr">
        <is>
          <t>до</t>
        </is>
      </c>
      <c r="D5" s="47" t="n">
        <v>2.176943675219694</v>
      </c>
      <c r="E5" s="40" t="n">
        <v>0.5323973718498616</v>
      </c>
      <c r="F5" s="47" t="n">
        <v>1.049670947946967</v>
      </c>
      <c r="G5" s="47" t="n">
        <v>1.049670947946967</v>
      </c>
      <c r="H5" s="40" t="n">
        <v>0.4383730954726439</v>
      </c>
      <c r="I5" s="40" t="n">
        <v>0.3830042812803003</v>
      </c>
      <c r="J5" s="40" t="n">
        <v>0.5267197161722055</v>
      </c>
      <c r="K5" s="47" t="n">
        <v>1.049670947946967</v>
      </c>
      <c r="L5" s="47" t="n">
        <v>1.025934779755291</v>
      </c>
      <c r="M5" s="40" t="n">
        <v>0.155465099028261</v>
      </c>
      <c r="N5" s="40" t="n">
        <v>0</v>
      </c>
      <c r="O5" s="48" t="n">
        <v>2.176943675219694</v>
      </c>
    </row>
    <row r="6">
      <c r="A6" s="21" t="n"/>
      <c r="B6" s="21" t="n"/>
      <c r="C6" s="6" t="inlineStr">
        <is>
          <t>после</t>
        </is>
      </c>
      <c r="D6" s="40" t="n">
        <v>0.9919127988748242</v>
      </c>
      <c r="E6" s="40" t="n">
        <v>0.9919127988748242</v>
      </c>
      <c r="F6" s="40" t="n">
        <v>0.9919127988748243</v>
      </c>
      <c r="G6" s="40" t="n">
        <v>0.9919127988748242</v>
      </c>
      <c r="H6" s="40" t="n">
        <v>0.9906140975761231</v>
      </c>
      <c r="I6" s="40" t="n">
        <v>0.3252461322081575</v>
      </c>
      <c r="J6" s="40" t="n">
        <v>0.4689615671000626</v>
      </c>
      <c r="K6" s="40" t="n">
        <v>0.9919127988748242</v>
      </c>
      <c r="L6" s="40" t="n">
        <v>0.6733339760047764</v>
      </c>
      <c r="M6" s="40" t="n">
        <v>0.3252461322081575</v>
      </c>
      <c r="N6" s="40" t="n">
        <v>0.7916666666666661</v>
      </c>
      <c r="O6" s="45" t="n">
        <v>0.9919127988748243</v>
      </c>
    </row>
    <row r="7">
      <c r="A7" s="7" t="inlineStr">
        <is>
          <t>Паноченко В.В.</t>
        </is>
      </c>
      <c r="B7" s="38" t="n">
        <v>10</v>
      </c>
      <c r="C7" s="6" t="inlineStr">
        <is>
          <t>до</t>
        </is>
      </c>
      <c r="D7" s="40" t="n">
        <v>1.003939714529114</v>
      </c>
      <c r="E7" s="40" t="n">
        <v>1.003939714529114</v>
      </c>
      <c r="F7" s="40" t="n">
        <v>1.003939714529114</v>
      </c>
      <c r="G7" s="47" t="n">
        <v>1.190455551633186</v>
      </c>
      <c r="H7" s="47" t="n">
        <v>1.903939714529114</v>
      </c>
      <c r="I7" s="47" t="n">
        <v>1.559529140582936</v>
      </c>
      <c r="J7" s="40" t="n">
        <v>0.3753186142671469</v>
      </c>
      <c r="K7" s="40" t="n">
        <v>0.1039397145291137</v>
      </c>
      <c r="L7" s="40" t="n">
        <v>0.4182046529024206</v>
      </c>
      <c r="M7" s="40" t="n">
        <v>0</v>
      </c>
      <c r="N7" s="40" t="n">
        <v>0</v>
      </c>
      <c r="O7" s="48" t="n">
        <v>1.903939714529114</v>
      </c>
    </row>
    <row r="8">
      <c r="A8" s="21" t="n"/>
      <c r="B8" s="21" t="n"/>
      <c r="C8" s="6" t="inlineStr">
        <is>
          <t>после</t>
        </is>
      </c>
      <c r="D8" s="40" t="n">
        <v>0.988265306122449</v>
      </c>
      <c r="E8" s="40" t="n">
        <v>0.988265306122449</v>
      </c>
      <c r="F8" s="40" t="n">
        <v>0.988265306122449</v>
      </c>
      <c r="G8" s="40" t="n">
        <v>0.988265306122449</v>
      </c>
      <c r="H8" s="40" t="n">
        <v>0.988265306122449</v>
      </c>
      <c r="I8" s="40" t="n">
        <v>0.988265306122449</v>
      </c>
      <c r="J8" s="40" t="n">
        <v>0.988265306122449</v>
      </c>
      <c r="K8" s="40" t="n">
        <v>0.988265306122449</v>
      </c>
      <c r="L8" s="40" t="n">
        <v>0.5656838952478852</v>
      </c>
      <c r="M8" s="40" t="n">
        <v>0.08826530612244898</v>
      </c>
      <c r="N8" s="40" t="n">
        <v>0</v>
      </c>
      <c r="O8" s="45" t="n">
        <v>0.988265306122449</v>
      </c>
    </row>
    <row r="9">
      <c r="A9" s="7" t="inlineStr">
        <is>
          <t>Кодинцев А.В.</t>
        </is>
      </c>
      <c r="B9" s="38" t="n">
        <v>12</v>
      </c>
      <c r="C9" s="6" t="inlineStr">
        <is>
          <t>до</t>
        </is>
      </c>
      <c r="D9" s="40" t="n">
        <v>1</v>
      </c>
      <c r="E9" s="40" t="n">
        <v>0.8052584670231732</v>
      </c>
      <c r="F9" s="40" t="n">
        <v>1</v>
      </c>
      <c r="G9" s="47" t="n">
        <v>1.207239819004525</v>
      </c>
      <c r="H9" s="47" t="n">
        <v>2</v>
      </c>
      <c r="I9" s="47" t="n">
        <v>1.584426847662142</v>
      </c>
      <c r="J9" s="40" t="n">
        <v>0.7844268476621422</v>
      </c>
      <c r="K9" s="40" t="n">
        <v>0</v>
      </c>
      <c r="L9" s="40" t="n">
        <v>0.4043715846994531</v>
      </c>
      <c r="M9" s="40" t="n">
        <v>0</v>
      </c>
      <c r="N9" s="40" t="n">
        <v>0</v>
      </c>
      <c r="O9" s="48" t="n">
        <v>2</v>
      </c>
    </row>
    <row r="10">
      <c r="A10" s="21" t="n"/>
      <c r="B10" s="21" t="n"/>
      <c r="C10" s="6" t="inlineStr">
        <is>
          <t>после</t>
        </is>
      </c>
      <c r="D10" s="40" t="n">
        <v>1</v>
      </c>
      <c r="E10" s="40" t="n">
        <v>0.8052584670231732</v>
      </c>
      <c r="F10" s="40" t="n">
        <v>1</v>
      </c>
      <c r="G10" s="40" t="n">
        <v>1</v>
      </c>
      <c r="H10" s="40" t="n">
        <v>1</v>
      </c>
      <c r="I10" s="40" t="n">
        <v>1</v>
      </c>
      <c r="J10" s="40" t="n">
        <v>1</v>
      </c>
      <c r="K10" s="40" t="n">
        <v>1</v>
      </c>
      <c r="L10" s="40" t="n">
        <v>0.9804650990282625</v>
      </c>
      <c r="M10" s="40" t="n">
        <v>0</v>
      </c>
      <c r="N10" s="40" t="n">
        <v>0</v>
      </c>
      <c r="O10" s="45" t="n">
        <v>1</v>
      </c>
    </row>
    <row r="11">
      <c r="A11" s="7" t="inlineStr">
        <is>
          <t>Нгуен Д.В.</t>
        </is>
      </c>
      <c r="B11" s="38" t="n">
        <v>10</v>
      </c>
      <c r="C11" s="6" t="inlineStr">
        <is>
          <t>до</t>
        </is>
      </c>
      <c r="D11" s="40" t="n">
        <v>1</v>
      </c>
      <c r="E11" s="40" t="n">
        <v>0.8052584670231731</v>
      </c>
      <c r="F11" s="40" t="n">
        <v>1</v>
      </c>
      <c r="G11" s="47" t="n">
        <v>1.207239819004525</v>
      </c>
      <c r="H11" s="47" t="n">
        <v>2</v>
      </c>
      <c r="I11" s="47" t="n">
        <v>1.617321584504247</v>
      </c>
      <c r="J11" s="40" t="n">
        <v>0.3015321108200368</v>
      </c>
      <c r="K11" s="40" t="n">
        <v>0</v>
      </c>
      <c r="L11" s="40" t="n">
        <v>0.404371584699453</v>
      </c>
      <c r="M11" s="40" t="n">
        <v>0</v>
      </c>
      <c r="N11" s="40" t="n">
        <v>0</v>
      </c>
      <c r="O11" s="48" t="n">
        <v>2</v>
      </c>
    </row>
    <row r="12">
      <c r="A12" s="21" t="n"/>
      <c r="B12" s="21" t="n"/>
      <c r="C12" s="6" t="inlineStr">
        <is>
          <t>после</t>
        </is>
      </c>
      <c r="D12" s="40" t="n">
        <v>1</v>
      </c>
      <c r="E12" s="40" t="n">
        <v>0.8052584670231731</v>
      </c>
      <c r="F12" s="40" t="n">
        <v>1</v>
      </c>
      <c r="G12" s="40" t="n">
        <v>1</v>
      </c>
      <c r="H12" s="40" t="n">
        <v>1</v>
      </c>
      <c r="I12" s="40" t="n">
        <v>1</v>
      </c>
      <c r="J12" s="40" t="n">
        <v>1</v>
      </c>
      <c r="K12" s="40" t="n">
        <v>1</v>
      </c>
      <c r="L12" s="40" t="n">
        <v>0.5304650990282624</v>
      </c>
      <c r="M12" s="40" t="n">
        <v>0</v>
      </c>
      <c r="N12" s="40" t="n">
        <v>0</v>
      </c>
      <c r="O12" s="45" t="n">
        <v>1</v>
      </c>
    </row>
    <row r="13">
      <c r="A13" s="7" t="inlineStr">
        <is>
          <t>Сибирко И.С.</t>
        </is>
      </c>
      <c r="B13" s="38" t="n">
        <v>8</v>
      </c>
      <c r="C13" s="6" t="inlineStr">
        <is>
          <t>до</t>
        </is>
      </c>
      <c r="D13" s="40" t="n">
        <v>0.7575757575757576</v>
      </c>
      <c r="E13" s="40" t="n">
        <v>0.1764705882352942</v>
      </c>
      <c r="F13" s="40" t="n">
        <v>1</v>
      </c>
      <c r="G13" s="40" t="n">
        <v>1</v>
      </c>
      <c r="H13" s="40" t="n">
        <v>1</v>
      </c>
      <c r="I13" s="40" t="n">
        <v>1</v>
      </c>
      <c r="J13" s="40" t="n">
        <v>1</v>
      </c>
      <c r="K13" s="40" t="n">
        <v>1</v>
      </c>
      <c r="L13" s="40" t="n">
        <v>0.5221317656949283</v>
      </c>
      <c r="M13" s="40" t="n">
        <v>0</v>
      </c>
      <c r="N13" s="40" t="n">
        <v>0</v>
      </c>
      <c r="O13" s="45" t="n">
        <v>1</v>
      </c>
    </row>
    <row r="14">
      <c r="A14" s="21" t="n"/>
      <c r="B14" s="21" t="n"/>
      <c r="C14" s="6" t="inlineStr">
        <is>
          <t>после</t>
        </is>
      </c>
      <c r="D14" s="40" t="n">
        <v>0.7575757575757576</v>
      </c>
      <c r="E14" s="40" t="n">
        <v>0.1764705882352942</v>
      </c>
      <c r="F14" s="40" t="n">
        <v>1</v>
      </c>
      <c r="G14" s="40" t="n">
        <v>1</v>
      </c>
      <c r="H14" s="40" t="n">
        <v>1</v>
      </c>
      <c r="I14" s="40" t="n">
        <v>1</v>
      </c>
      <c r="J14" s="40" t="n">
        <v>1</v>
      </c>
      <c r="K14" s="40" t="n">
        <v>1</v>
      </c>
      <c r="L14" s="40" t="n">
        <v>0.9804650990282624</v>
      </c>
      <c r="M14" s="40" t="n">
        <v>0</v>
      </c>
      <c r="N14" s="40" t="n">
        <v>0</v>
      </c>
      <c r="O14" s="45" t="n">
        <v>1</v>
      </c>
    </row>
    <row r="15">
      <c r="A15" s="7" t="inlineStr">
        <is>
          <t>Шунулин Р.А.</t>
        </is>
      </c>
      <c r="B15" s="38" t="n">
        <v>8</v>
      </c>
      <c r="C15" s="6" t="inlineStr">
        <is>
          <t>до</t>
        </is>
      </c>
      <c r="D15" s="47" t="n">
        <v>2.018181818181818</v>
      </c>
      <c r="E15" s="40" t="n">
        <v>0.1680672268907564</v>
      </c>
      <c r="F15" s="40" t="n">
        <v>0.8907343066997161</v>
      </c>
      <c r="G15" s="47" t="n">
        <v>1.034833921165846</v>
      </c>
      <c r="H15" s="40" t="n">
        <v>0.3471238371322327</v>
      </c>
      <c r="I15" s="40" t="n">
        <v>0.2848339211658463</v>
      </c>
      <c r="J15" s="40" t="n">
        <v>0.4465137854192396</v>
      </c>
      <c r="K15" s="47" t="n">
        <v>1.034833921165846</v>
      </c>
      <c r="L15" s="40" t="n">
        <v>0.903009152686409</v>
      </c>
      <c r="M15" s="40" t="n">
        <v>0.155465099028261</v>
      </c>
      <c r="N15" s="40" t="n">
        <v>0</v>
      </c>
      <c r="O15" s="48" t="n">
        <v>2.018181818181818</v>
      </c>
    </row>
    <row r="16">
      <c r="A16" s="21" t="n"/>
      <c r="B16" s="21" t="n"/>
      <c r="C16" s="6" t="inlineStr">
        <is>
          <t>после</t>
        </is>
      </c>
      <c r="D16" s="40" t="n">
        <v>0.75</v>
      </c>
      <c r="E16" s="40" t="n">
        <v>0.7499999999999999</v>
      </c>
      <c r="F16" s="40" t="n">
        <v>0.8420080661199034</v>
      </c>
      <c r="G16" s="40" t="n">
        <v>0.936216274243183</v>
      </c>
      <c r="H16" s="40" t="n">
        <v>0.9347552352821442</v>
      </c>
      <c r="I16" s="40" t="n">
        <v>0.186216274243183</v>
      </c>
      <c r="J16" s="40" t="n">
        <v>0.3478961384965763</v>
      </c>
      <c r="K16" s="40" t="n">
        <v>0.936216274243183</v>
      </c>
      <c r="L16" s="40" t="n">
        <v>0.4988768121251688</v>
      </c>
      <c r="M16" s="40" t="n">
        <v>0</v>
      </c>
      <c r="N16" s="40" t="n">
        <v>0.7916666666666661</v>
      </c>
      <c r="O16" s="45" t="n">
        <v>0.936216274243183</v>
      </c>
    </row>
    <row r="17">
      <c r="A17" s="7" t="inlineStr">
        <is>
          <t>Горбов Н.В.</t>
        </is>
      </c>
      <c r="B17" s="38" t="n">
        <v>8</v>
      </c>
      <c r="C17" s="6" t="inlineStr">
        <is>
          <t>до</t>
        </is>
      </c>
      <c r="D17" s="40" t="n">
        <v>1</v>
      </c>
      <c r="E17" s="40" t="n">
        <v>0.8235294117647058</v>
      </c>
      <c r="F17" s="40" t="n">
        <v>0.4940925087983912</v>
      </c>
      <c r="G17" s="47" t="n">
        <v>1.207239819004525</v>
      </c>
      <c r="H17" s="47" t="n">
        <v>2</v>
      </c>
      <c r="I17" s="47" t="n">
        <v>1.584426847662142</v>
      </c>
      <c r="J17" s="40" t="n">
        <v>0.7844268476621423</v>
      </c>
      <c r="K17" s="40" t="n">
        <v>0</v>
      </c>
      <c r="L17" s="40" t="n">
        <v>0.4043715846994531</v>
      </c>
      <c r="M17" s="40" t="n">
        <v>0</v>
      </c>
      <c r="N17" s="40" t="n">
        <v>0</v>
      </c>
      <c r="O17" s="48" t="n">
        <v>2</v>
      </c>
    </row>
    <row r="18">
      <c r="A18" s="21" t="n"/>
      <c r="B18" s="21" t="n"/>
      <c r="C18" s="6" t="inlineStr">
        <is>
          <t>после</t>
        </is>
      </c>
      <c r="D18" s="40" t="n">
        <v>1</v>
      </c>
      <c r="E18" s="40" t="n">
        <v>0.8235294117647058</v>
      </c>
      <c r="F18" s="40" t="n">
        <v>0.4940925087983912</v>
      </c>
      <c r="G18" s="40" t="n">
        <v>1</v>
      </c>
      <c r="H18" s="40" t="n">
        <v>1</v>
      </c>
      <c r="I18" s="40" t="n">
        <v>1</v>
      </c>
      <c r="J18" s="40" t="n">
        <v>1</v>
      </c>
      <c r="K18" s="40" t="n">
        <v>1</v>
      </c>
      <c r="L18" s="40" t="n">
        <v>0.9804650990282624</v>
      </c>
      <c r="M18" s="40" t="n">
        <v>0</v>
      </c>
      <c r="N18" s="40" t="n">
        <v>0</v>
      </c>
      <c r="O18" s="45" t="n">
        <v>1</v>
      </c>
    </row>
    <row r="19">
      <c r="A19" s="42" t="inlineStr">
        <is>
          <t>Команда, ч</t>
        </is>
      </c>
      <c r="B19" s="38" t="n">
        <v>68</v>
      </c>
      <c r="C19" s="6" t="inlineStr">
        <is>
          <t>после</t>
        </is>
      </c>
      <c r="D19" s="38" t="n">
        <v>63.84621270832844</v>
      </c>
      <c r="E19" s="38" t="n">
        <v>53.50129292223219</v>
      </c>
      <c r="F19" s="38" t="n">
        <v>49.979528997655</v>
      </c>
      <c r="G19" s="38" t="n">
        <v>67.27533684166784</v>
      </c>
      <c r="H19" s="38" t="n">
        <v>67.24806411439512</v>
      </c>
      <c r="I19" s="38" t="n">
        <v>53.27533684166784</v>
      </c>
      <c r="J19" s="38" t="n">
        <v>56.29336097439786</v>
      </c>
      <c r="K19" s="38" t="n">
        <v>67.27533684166784</v>
      </c>
      <c r="L19" s="38" t="n">
        <v>50.48553492461149</v>
      </c>
      <c r="M19" s="38" t="n">
        <v>4.78560664772238</v>
      </c>
      <c r="N19" s="38" t="n">
        <v>12.66666666666666</v>
      </c>
      <c r="O19" s="43" t="n">
        <v>67.27533684166784</v>
      </c>
    </row>
    <row r="21">
      <c r="A21" s="49" t="inlineStr">
        <is>
          <t>Перегруз (больше 100%): до выравнивания 20 человеко-недель, после — 0.</t>
        </is>
      </c>
    </row>
  </sheetData>
  <mergeCells count="15">
    <mergeCell ref="A5:A6"/>
    <mergeCell ref="B9:B10"/>
    <mergeCell ref="A17:A18"/>
    <mergeCell ref="A9:A10"/>
    <mergeCell ref="A13:A14"/>
    <mergeCell ref="B13:B14"/>
    <mergeCell ref="A2:N2"/>
    <mergeCell ref="B17:B18"/>
    <mergeCell ref="A15:A16"/>
    <mergeCell ref="A7:A8"/>
    <mergeCell ref="B7:B8"/>
    <mergeCell ref="B11:B12"/>
    <mergeCell ref="B5:B6"/>
    <mergeCell ref="A11:A12"/>
    <mergeCell ref="B15:B16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2" customWidth="1" min="5" max="5"/>
    <col width="50" customWidth="1" min="6" max="6"/>
    <col width="14" customWidth="1" min="7" max="7"/>
  </cols>
  <sheetData>
    <row r="1" ht="22" customHeight="1">
      <c r="A1" s="1" t="inlineStr">
        <is>
          <t>Ресурсные конфликты и их разрешение (вариант Б)</t>
        </is>
      </c>
    </row>
    <row r="3" ht="34" customHeight="1">
      <c r="A3" s="3" t="inlineStr">
        <is>
          <t>Пакет</t>
        </is>
      </c>
      <c r="B3" s="3" t="inlineStr">
        <is>
          <t>Название</t>
        </is>
      </c>
      <c r="C3" s="3" t="inlineStr">
        <is>
          <t>Мог начаться</t>
        </is>
      </c>
      <c r="D3" s="3" t="inlineStr">
        <is>
          <t>Начинается</t>
        </is>
      </c>
      <c r="E3" s="3" t="inlineStr">
        <is>
          <t>Задержка, раб. дн</t>
        </is>
      </c>
      <c r="F3" s="3" t="inlineStr">
        <is>
          <t>Причина</t>
        </is>
      </c>
      <c r="G3" s="3" t="inlineStr">
        <is>
          <t>Полный резерв по сети, дн</t>
        </is>
      </c>
    </row>
    <row r="4" ht="30" customHeight="1">
      <c r="A4" s="6" t="inlineStr">
        <is>
          <t>1.2</t>
        </is>
      </c>
      <c r="B4" s="7" t="inlineStr">
        <is>
          <t>Планирование проекта</t>
        </is>
      </c>
      <c r="C4" s="6" t="inlineStr">
        <is>
          <t>19.10.2026</t>
        </is>
      </c>
      <c r="D4" s="6" t="inlineStr">
        <is>
          <t>23.10.2026</t>
        </is>
      </c>
      <c r="E4" s="8" t="n">
        <v>3.787878787878788</v>
      </c>
      <c r="F4" s="7" t="inlineStr">
        <is>
          <t>Лопатин, Шунулин заняты в 2.4</t>
        </is>
      </c>
      <c r="G4" s="8" t="n">
        <v>7.356963298139765</v>
      </c>
    </row>
    <row r="5" ht="30" customHeight="1">
      <c r="A5" s="6" t="inlineStr">
        <is>
          <t>4.1</t>
        </is>
      </c>
      <c r="B5" s="7" t="inlineStr">
        <is>
          <t>Формализация правил совместимости</t>
        </is>
      </c>
      <c r="C5" s="6" t="inlineStr">
        <is>
          <t>19.10.2026</t>
        </is>
      </c>
      <c r="D5" s="6" t="inlineStr">
        <is>
          <t>29.10.2026</t>
        </is>
      </c>
      <c r="E5" s="8" t="n">
        <v>8.454545454545455</v>
      </c>
      <c r="F5" s="7" t="inlineStr">
        <is>
          <t>Лопатин, Шунулин заняты в 2.4, 1.2</t>
        </is>
      </c>
      <c r="G5" s="8" t="n">
        <v>25.3923723335488</v>
      </c>
    </row>
    <row r="6" ht="30" customHeight="1">
      <c r="A6" s="6" t="inlineStr">
        <is>
          <t>6.1</t>
        </is>
      </c>
      <c r="B6" s="7" t="inlineStr">
        <is>
          <t>Интеграция внешних сервисов (заглушки)</t>
        </is>
      </c>
      <c r="C6" s="6" t="inlineStr">
        <is>
          <t>30.10.2026</t>
        </is>
      </c>
      <c r="D6" s="6" t="inlineStr">
        <is>
          <t>09.11.2026</t>
        </is>
      </c>
      <c r="E6" s="8" t="n">
        <v>4.574993633817165</v>
      </c>
      <c r="F6" s="7" t="inlineStr">
        <is>
          <t>Лопатин, Шунулин заняты в 4.1</t>
        </is>
      </c>
      <c r="G6" s="8" t="n">
        <v>20.1735347985348</v>
      </c>
    </row>
    <row r="7" ht="30" customHeight="1">
      <c r="A7" s="6" t="inlineStr">
        <is>
          <t>5.1</t>
        </is>
      </c>
      <c r="B7" s="7" t="inlineStr">
        <is>
          <t>Кабинет клиента и заявки</t>
        </is>
      </c>
      <c r="C7" s="6" t="inlineStr">
        <is>
          <t>13.11.2026</t>
        </is>
      </c>
      <c r="D7" s="6" t="inlineStr">
        <is>
          <t>02.12.2026</t>
        </is>
      </c>
      <c r="E7" s="8" t="n">
        <v>12.54385964912281</v>
      </c>
      <c r="F7" s="7" t="inlineStr">
        <is>
          <t>Паноченко, Нгуен заняты в 3.3, 3.4</t>
        </is>
      </c>
      <c r="G7" s="8" t="n">
        <v>12.50219298245614</v>
      </c>
    </row>
    <row r="8" ht="30" customHeight="1">
      <c r="A8" s="6" t="inlineStr">
        <is>
          <t>4.2</t>
        </is>
      </c>
      <c r="B8" s="7" t="inlineStr">
        <is>
          <t>Проверка совместимости пар</t>
        </is>
      </c>
      <c r="C8" s="6" t="inlineStr">
        <is>
          <t>13.11.2026</t>
        </is>
      </c>
      <c r="D8" s="6" t="inlineStr">
        <is>
          <t>04.12.2026</t>
        </is>
      </c>
      <c r="E8" s="8" t="n">
        <v>14.95833333333334</v>
      </c>
      <c r="F8" s="7" t="inlineStr">
        <is>
          <t>Горбов, Кодинцев заняты в 3.2, 3.5</t>
        </is>
      </c>
      <c r="G8" s="8" t="n">
        <v>12.66666666666666</v>
      </c>
    </row>
    <row r="10">
      <c r="A10" s="49" t="inlineStr">
        <is>
          <t>Правило: один человек одновременно в одном пакете, раньше идёт работа с меньшим поздним началом.</t>
        </is>
      </c>
    </row>
    <row r="11">
      <c r="A11" s="49" t="inlineStr">
        <is>
          <t>Окончание приёмки 6.3: по сети 41,6 раб. дн, по расписанию 43,9 раб. дн. Запас до 25.12 — 5,1 раб. дн.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52" customWidth="1" min="4" max="4"/>
    <col width="8" customWidth="1" min="5" max="5"/>
    <col width="11" customWidth="1" min="6" max="6"/>
    <col width="8" customWidth="1" min="7" max="7"/>
    <col width="12" customWidth="1" min="8" max="8"/>
  </cols>
  <sheetData>
    <row r="1" ht="22" customHeight="1">
      <c r="A1" s="1" t="inlineStr">
        <is>
          <t>Вехи и плановый объём (PV) нарастающим итогом</t>
        </is>
      </c>
    </row>
    <row r="3" ht="22" customHeight="1">
      <c r="A3" s="3" t="inlineStr">
        <is>
          <t>Веха</t>
        </is>
      </c>
      <c r="B3" s="3" t="inlineStr">
        <is>
          <t>Дата пары</t>
        </is>
      </c>
      <c r="C3" s="3" t="inlineStr">
        <is>
          <t>По уставу (п. 3.1)</t>
        </is>
      </c>
      <c r="D3" s="3" t="inlineStr">
        <is>
          <t>Готово по расписанию</t>
        </is>
      </c>
      <c r="E3" s="3" t="inlineStr">
        <is>
          <t>PV, ч</t>
        </is>
      </c>
      <c r="F3" s="3" t="inlineStr">
        <is>
          <t>PV, USD</t>
        </is>
      </c>
      <c r="G3" s="3" t="inlineStr">
        <is>
          <t>Доля</t>
        </is>
      </c>
      <c r="H3" s="3" t="inlineStr">
        <is>
          <t>Прирост, USD</t>
        </is>
      </c>
    </row>
    <row r="4" ht="32" customHeight="1">
      <c r="A4" s="6" t="inlineStr">
        <is>
          <t>Фаза 3</t>
        </is>
      </c>
      <c r="B4" s="6" t="inlineStr">
        <is>
          <t>17.10.2026</t>
        </is>
      </c>
      <c r="C4" s="7" t="inlineStr">
        <is>
          <t>Базовый план: оценки, сеть (PERT), расписание, реестр рисков</t>
        </is>
      </c>
      <c r="D4" s="7" t="inlineStr">
        <is>
          <t>1.1; 1.2 на 60%; 2.1 на 70%</t>
        </is>
      </c>
      <c r="E4" s="38" t="n">
        <v>81.86772151898734</v>
      </c>
      <c r="F4" s="41" t="n">
        <v>4643.146624472573</v>
      </c>
      <c r="G4" s="40">
        <f>F4/F10</f>
        <v>0.13378623892339542</v>
      </c>
      <c r="H4" s="41" t="n">
        <v>4643.146624472573</v>
      </c>
    </row>
    <row r="5" ht="48" customHeight="1">
      <c r="A5" s="6" t="inlineStr">
        <is>
          <t>Фаза 4</t>
        </is>
      </c>
      <c r="B5" s="6" t="inlineStr">
        <is>
          <t>31.10.2026</t>
        </is>
      </c>
      <c r="C5" s="7" t="inlineStr">
        <is>
          <t>Story map, бэклог, настройка окружения, план итерации 1</t>
        </is>
      </c>
      <c r="D5" s="7" t="inlineStr">
        <is>
          <t>1.2 Планирование (ост.); 2.2 Архитектура и БД; 2.3 Дизайн интерфейса; 2.4 Среда и инструменты</t>
        </is>
      </c>
      <c r="E5" s="38" t="n">
        <v>199.2152271495479</v>
      </c>
      <c r="F5" s="41" t="n">
        <v>11160.14369372605</v>
      </c>
      <c r="G5" s="40">
        <f>F5/F10</f>
        <v>0.3215650444374799</v>
      </c>
      <c r="H5" s="41">
        <f>F5-F4</f>
        <v>6516.997069253476</v>
      </c>
    </row>
    <row r="6" ht="32" customHeight="1">
      <c r="A6" s="6" t="inlineStr">
        <is>
          <t>В1</t>
        </is>
      </c>
      <c r="B6" s="6" t="inlineStr">
        <is>
          <t>14.11.2026</t>
        </is>
      </c>
      <c r="C6" s="7" t="inlineStr">
        <is>
          <t>Реестр лошадей, размещение и перемещения, демоданные v1, образец стиля</t>
        </is>
      </c>
      <c r="D6" s="7" t="inlineStr">
        <is>
          <t>2.5 Демоданные; 3.1 Реестр лошадей; 4.1 Таблица правил</t>
        </is>
      </c>
      <c r="E6" s="38" t="n">
        <v>316.4700929888708</v>
      </c>
      <c r="F6" s="41" t="n">
        <v>17577.10916991059</v>
      </c>
      <c r="G6" s="40">
        <f>F6/F10</f>
        <v>0.5064615695299918</v>
      </c>
      <c r="H6" s="41">
        <f>F6-F5</f>
        <v>6416.965476184543</v>
      </c>
    </row>
    <row r="7" ht="32" customHeight="1">
      <c r="A7" s="6" t="inlineStr">
        <is>
          <t>В2</t>
        </is>
      </c>
      <c r="B7" s="6" t="inlineStr">
        <is>
          <t>28.11.2026</t>
        </is>
      </c>
      <c r="C7" s="7" t="inlineStr">
        <is>
          <t>Справки (ядро), ввод записей, выгрузка заглушкой</t>
        </is>
      </c>
      <c r="D7" s="7" t="inlineStr">
        <is>
          <t>3.2 Размещение; 3.3 Ввод записей; 6.1 Заглушки сервисов</t>
        </is>
      </c>
      <c r="E7" s="38" t="n">
        <v>436.9934939449337</v>
      </c>
      <c r="F7" s="41" t="n">
        <v>24210.33125513807</v>
      </c>
      <c r="G7" s="40">
        <f>F7/F10</f>
        <v>0.6975892479127507</v>
      </c>
      <c r="H7" s="41">
        <f>F7-F6</f>
        <v>6633.22208522748</v>
      </c>
    </row>
    <row r="8" ht="32" customHeight="1">
      <c r="A8" s="6" t="inlineStr">
        <is>
          <t>В3</t>
        </is>
      </c>
      <c r="B8" s="6" t="inlineStr">
        <is>
          <t>12.12.2026</t>
        </is>
      </c>
      <c r="C8" s="7" t="inlineStr">
        <is>
          <t>Проверка совместимости, заявки клиента, очередь и календарь</t>
        </is>
      </c>
      <c r="D8" s="7" t="inlineStr">
        <is>
          <t>3.4 Справка «История»; 3.5 Справка «Контакты»</t>
        </is>
      </c>
      <c r="E8" s="38" t="n">
        <v>560.5621917609994</v>
      </c>
      <c r="F8" s="41" t="n">
        <v>31000.1686074514</v>
      </c>
      <c r="G8" s="40">
        <f>F8/F10</f>
        <v>0.8932295917863995</v>
      </c>
      <c r="H8" s="41">
        <f>F8-F7</f>
        <v>6789.8373523133305</v>
      </c>
    </row>
    <row r="9" ht="32" customHeight="1">
      <c r="A9" s="6" t="inlineStr">
        <is>
          <t>В4</t>
        </is>
      </c>
      <c r="B9" s="6" t="inlineStr">
        <is>
          <t>26.12.2026</t>
        </is>
      </c>
      <c r="C9" s="7" t="inlineStr">
        <is>
          <t>Счета, сквозной сценарий, руководство, финальная приёмка</t>
        </is>
      </c>
      <c r="D9" s="7" t="inlineStr">
        <is>
          <t>4.2 Проверка пар; 5.1 Кабинет клиента; 6.3 Финальная приёмка; 6.4 Документация</t>
        </is>
      </c>
      <c r="E9" s="38" t="n">
        <v>615.8333333333333</v>
      </c>
      <c r="F9" s="41" t="n">
        <v>34047.04493593837</v>
      </c>
      <c r="G9" s="40">
        <f>F9/F10</f>
        <v>0.9810213755531461</v>
      </c>
      <c r="H9" s="41">
        <f>F9-F8</f>
        <v>3046.8763284869674</v>
      </c>
    </row>
    <row r="10" ht="32" customHeight="1">
      <c r="A10" s="6" t="inlineStr">
        <is>
          <t>Закрытие</t>
        </is>
      </c>
      <c r="B10" s="6" t="inlineStr">
        <is>
          <t>31.12.2026</t>
        </is>
      </c>
      <c r="C10" s="7" t="inlineStr">
        <is>
          <t>Закрытие проекта</t>
        </is>
      </c>
      <c r="D10" s="7" t="inlineStr">
        <is>
          <t>1.4</t>
        </is>
      </c>
      <c r="E10" s="38" t="n">
        <v>628.4999999999999</v>
      </c>
      <c r="F10" s="41" t="n">
        <v>34705.71160260504</v>
      </c>
      <c r="G10" s="40">
        <f>F10/F10</f>
        <v>1.0</v>
      </c>
      <c r="H10" s="41">
        <f>F10-F9</f>
        <v>658.6666666666642</v>
      </c>
    </row>
    <row r="12">
      <c r="A12" s="49" t="inlineStr">
        <is>
          <t>BAC = 34 706 USD, с резервом 10% — 38 177 USD. PV считается на конец последнего рабочего дня перед парой.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100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100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2026-10-12T17:32:54Z</dcterms:created>
  <dcterms:modified xmlns:dcterms="http://purl.org/dc/terms/" xmlns:xsi="http://www.w3.org/2001/XMLSchema-instance" xsi:type="dcterms:W3CDTF">2026-10-12T17:32:54Z</dcterms:modified>
</cp:coreProperties>
</file>