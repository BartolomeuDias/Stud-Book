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96" yWindow="-96" windowWidth="21792" windowHeight="11628" tabRatio="500"/>
  </bookViews>
  <sheets>
    <sheet name="Реестр" sheetId="1" r:id="rId1"/>
  </sheets>
  <definedNames>
    <definedName name="_xlnm._FilterDatabase" localSheetId="0" hidden="1">Реестр!$A$8:$R$20</definedName>
    <definedName name="_xlnm.Print_Titles" localSheetId="0">Реестр!$8:$8</definedName>
  </definedNames>
  <calcPr calcId="12451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20" i="1"/>
  <c r="G20"/>
  <c r="H20" s="1"/>
  <c r="I19"/>
  <c r="G19"/>
  <c r="H19" s="1"/>
  <c r="G18"/>
  <c r="I18" s="1"/>
  <c r="G17"/>
  <c r="I17" s="1"/>
  <c r="G16"/>
  <c r="I16" s="1"/>
  <c r="I15"/>
  <c r="G15"/>
  <c r="H15" s="1"/>
  <c r="G14"/>
  <c r="I14" s="1"/>
  <c r="I13"/>
  <c r="G13"/>
  <c r="H13" s="1"/>
  <c r="I12"/>
  <c r="G12"/>
  <c r="H12" s="1"/>
  <c r="G11"/>
  <c r="I11" s="1"/>
  <c r="G10"/>
  <c r="I10" s="1"/>
  <c r="G9"/>
  <c r="I9" s="1"/>
  <c r="H14" l="1"/>
  <c r="H10"/>
  <c r="H16"/>
  <c r="H11"/>
  <c r="H17"/>
  <c r="H18"/>
  <c r="H9"/>
</calcChain>
</file>

<file path=xl/sharedStrings.xml><?xml version="1.0" encoding="utf-8"?>
<sst xmlns="http://schemas.openxmlformats.org/spreadsheetml/2006/main" count="187" uniqueCount="185">
  <si>
    <t>Реестр заинтересованных сторон проекта Stud Book</t>
  </si>
  <si>
    <t>Название проекта</t>
  </si>
  <si>
    <t>Stud Book</t>
  </si>
  <si>
    <t>Дата создания реестра</t>
  </si>
  <si>
    <t>Менеджер проекта</t>
  </si>
  <si>
    <t>Лопатин Даниил Игоревич</t>
  </si>
  <si>
    <t>Дата текущей версии</t>
  </si>
  <si>
    <t>Спонсор проекта</t>
  </si>
  <si>
    <t>Дасти Кроуфорд</t>
  </si>
  <si>
    <t>Версия</t>
  </si>
  <si>
    <t>Фаза проекта</t>
  </si>
  <si>
    <t>2 — предиктивный этап: анализ и планирование</t>
  </si>
  <si>
    <t>Дата начала работы над проектом</t>
  </si>
  <si>
    <t>Ожидаемая дата завершения</t>
  </si>
  <si>
    <t>№</t>
  </si>
  <si>
    <t>Наименование / лица</t>
  </si>
  <si>
    <t>Категория</t>
  </si>
  <si>
    <t>Роль в проекте</t>
  </si>
  <si>
    <t>Влияние (1–5)</t>
  </si>
  <si>
    <t>Заинтересованность (1–5)</t>
  </si>
  <si>
    <t>Балл приоритета (влияние × заинтересованность)</t>
  </si>
  <si>
    <t>Уровень приоритета</t>
  </si>
  <si>
    <t>Стратегия взаимодействия (по методике)</t>
  </si>
  <si>
    <t>Ожидания / потребности</t>
  </si>
  <si>
    <t>Опасения</t>
  </si>
  <si>
    <t>Методы влияния на проект</t>
  </si>
  <si>
    <t>Что из этого следует (требования, риски, ограничения)</t>
  </si>
  <si>
    <t>Значимость для заказчика (по интервью)</t>
  </si>
  <si>
    <t>Способ взаимодействия</t>
  </si>
  <si>
    <t>Частота / график коммуникаций</t>
  </si>
  <si>
    <t>Обоснование оценок</t>
  </si>
  <si>
    <t>С-01</t>
  </si>
  <si>
    <t>Внутренняя: заказчик и спонсор</t>
  </si>
  <si>
    <t>Владелец ранчо Circle-J. Заказчик и спонсор, принимает результат; пользователь (справки, записи, очередь, отчёты по загрузке).</t>
  </si>
  <si>
    <t>Быстрые справки по лошадям и перемещениям (пять минут вместо дня) и история жеребцов для страховщиков; подсказки «кого с кем нельзя и почему»; очередь; работающее ядро в рамках бюджета без «системы на вырост»; стиль племенной книги.</t>
  </si>
  <si>
    <t>Перегруженная и дорогая платформа; сходство с приложением для знакомств; выход за потолок бюджета; несоответствие срокам сезона.</t>
  </si>
  <si>
    <t>Решает о приёмке и платежах; формулирует и меняет требования; задаёт потолок бюджета (50 000 долларов); согласует изменения.</t>
  </si>
  <si>
    <t>Требования Т-01…Т-15; ограничения: потолок бюджета, «не система на вырост»; риски Р1, Р5, Р6, Р8, Р10.</t>
  </si>
  <si>
    <t>Определяющая.</t>
  </si>
  <si>
    <t>Чат ежедневно; демонстрации и приёмка раз в две недели на паре.</t>
  </si>
  <si>
    <t>Ежедневно по необходимости; каждая демонстрация итерации.</t>
  </si>
  <si>
    <t>Влияние 5: принимает работу, платит, меняет требования. Интерес 5: прямая выгода, инициатор проекта.</t>
  </si>
  <si>
    <t>Основные требования формулирует Дасти и согласует с Тэмми; на связи каждый день.</t>
  </si>
  <si>
    <t>С-02</t>
  </si>
  <si>
    <t>Тэмми Кроуфорд</t>
  </si>
  <si>
    <t>Внутренняя: ключевой пользователь</t>
  </si>
  <si>
    <t>«Старшая по бумагам и деньгам»: пользователь (счета, финансовая сводка); согласует требования Дасти.</t>
  </si>
  <si>
    <t>Счета не теряются и выставляются всем одним действием; прозрачный статус оплаты; финансовая сводка.</t>
  </si>
  <si>
    <t>Повтор ошибок с невыставленными счетами; сложный интерфейс.</t>
  </si>
  <si>
    <t>Влияет на требования через Дасти, который согласует их с ней; участвует в приёмке финансовых сценариев.</t>
  </si>
  <si>
    <t>Т-10, Т-11; риски Р1, Р10.</t>
  </si>
  <si>
    <t>Высокая для счетов (повод для проекта по брифу); отчёты — «бонус» (И2).</t>
  </si>
  <si>
    <t>Через Дасти; на демонстрациях — финансовые сценарии.</t>
  </si>
  <si>
    <t>Каждая демонстрация + по запросу через Дасти.</t>
  </si>
  <si>
    <t>Влияние 4: не заказчик, но её согласие нужно Дасти и именно она инициировала проект. Интерес 5: счета — её ежедневная проблема.</t>
  </si>
  <si>
    <t>Прямой канал не гарантирован: уточнить, участвует ли в чате заказчика.</t>
  </si>
  <si>
    <t>С-03</t>
  </si>
  <si>
    <t>Клиенты ранчо (владельцы кобыл)</t>
  </si>
  <si>
    <t>Пользователи: внешние по отношению к ранчо</t>
  </si>
  <si>
    <t>От владельца одной кобылы до конюшен; около половины из других штатов. Подают заявки, заказывают семя, получают счета.</t>
  </si>
  <si>
    <t>Подать заявку без визита и звонков; видеть статус и историю; понятные счета; сервис не хуже, чем у соседних ранчо.</t>
  </si>
  <si>
    <t>Уйти к конкурентам, если сервис неудобен; ошибки в счетах.</t>
  </si>
  <si>
    <t>Выбор ранчо (уход клиентов); в проекте напрямую не участвуют.</t>
  </si>
  <si>
    <t>Т-09, Т-10, Т-14; риск Р1. Клиенты представлены ролью «клиент» и сценариями, прямых контактов нет.</t>
  </si>
  <si>
    <t>Высокая для кабинета клиента (половина клиентов удалённые).</t>
  </si>
  <si>
    <t>Через заказчика: экраны кабинета показываются Дасти.</t>
  </si>
  <si>
    <t>Сценарии и персоны — нулевой спринт; кабинет — демонстрации итераций 3 и 4.</t>
  </si>
  <si>
    <t>Влияние 3: опосредованное (решение заказчика о приоритете кабинета, уход клиентов). Интерес 4: кабинет меняет их взаимодействие с ранчо.</t>
  </si>
  <si>
    <t>Прямой контакт не предусмотрен.</t>
  </si>
  <si>
    <t>С-04</t>
  </si>
  <si>
    <t>Сотрудники ранчо</t>
  </si>
  <si>
    <t>Внутренняя: пользователи</t>
  </si>
  <si>
    <t>Персонал, который вводит и просматривает данные (учёт лошадей, размещение, записи); в макете — роль «сотрудник ранчо».</t>
  </si>
  <si>
    <t>Простые формы ввода, меньше бумаги; не сложнее бумажного журнала.</t>
  </si>
  <si>
    <t>Дополнительная нагрузка; возврат к бумажному журналу.</t>
  </si>
  <si>
    <t>Качество и своевременность вводимых данных определяют ценность справок.</t>
  </si>
  <si>
    <t>Т-06, Т-15; риск Р9.</t>
  </si>
  <si>
    <t>Не обсуждалась (гипотеза).</t>
  </si>
  <si>
    <t>Через Дасти; отзыв на экраны ввода записей.</t>
  </si>
  <si>
    <t>Итерация 2 (ввод записей).</t>
  </si>
  <si>
    <t>Влияние 2: не принимают решений о проекте. Интерес 3: их ежедневная работа изменится.</t>
  </si>
  <si>
    <t>Подтвердить у заказчика состав персонала и кто вводит данные.</t>
  </si>
  <si>
    <t>С-05</t>
  </si>
  <si>
    <t>Команда проекта (6 человек)</t>
  </si>
  <si>
    <t>Внутренняя: исполнитель</t>
  </si>
  <si>
    <t>Выполняет работы и отвечает за артефакты; оценивается по заданию курса.</t>
  </si>
  <si>
    <t>Понятный объём, рабочий график, проверяемые критерии приёмки; справедливая оценка вклада.</t>
  </si>
  <si>
    <t>Перегрузка, расширение объёма, неравномерный вклад участников.</t>
  </si>
  <si>
    <t>Качество и сроки работ; оценки трудозатрат; предложения по урезанию объёма.</t>
  </si>
  <si>
    <t>Фонд времени 48 ч/нед, роли и ставки (п. 5.5 устава); риски Р7, Р8.</t>
  </si>
  <si>
    <t>—</t>
  </si>
  <si>
    <t>Еженедельная синхронизация, трекер, чат.</t>
  </si>
  <si>
    <t>Еженедельно; трекер ежедневно.</t>
  </si>
  <si>
    <t>Влияние 5 и интерес 5: всю работу выполняет команда.</t>
  </si>
  <si>
    <t>С-06</t>
  </si>
  <si>
    <t>Породная ассоциация (American Quarter Horse Association)</t>
  </si>
  <si>
    <t>Внешняя: регулирующая</t>
  </si>
  <si>
    <t>Регистрирует жеребят, ведёт родословные, требует подтверждения происхождения.</t>
  </si>
  <si>
    <t>Полные и непротиворечивые данные о происхождении жеребят в принятом ею формате.</t>
  </si>
  <si>
    <t>Расхождения в данных, выявляемые только при регистрации жеребёнка.</t>
  </si>
  <si>
    <t>Правила регистрации и формат данных определяют обязательные поля реестра лошадей; отказ в регистрации жеребёнка.</t>
  </si>
  <si>
    <t>Т-01 (поля родословной); А-3 (обмен данными — заглушка); риск Р4.</t>
  </si>
  <si>
    <t>Средняя: упомянута в легенде, в интервью не расширялась.</t>
  </si>
  <si>
    <t>В проекте не участвует; требования к полям уточняются через заказчика.</t>
  </si>
  <si>
    <t>Однократно до проектирования реестра (нулевой спринт).</t>
  </si>
  <si>
    <t>Влияние 4: определяет состав полей реестра. Интерес 2: о проекте не знает, интеграция не делается (заглушка).</t>
  </si>
  <si>
    <t>v1.0: влияние «высокое», интерес «средняя», стратегия «Управлять» при разовом контакте через заказчика — противоречие. v1.1: интерес снижен до 2.</t>
  </si>
  <si>
    <t>С-07</t>
  </si>
  <si>
    <t>Приходящий ветеринар</t>
  </si>
  <si>
    <t>Внешняя: подрядчик заказчика</t>
  </si>
  <si>
    <t>По расписанию осматривает кобыл и делает записи о готовности и здоровье; источник данных и правил готовности кобылы.</t>
  </si>
  <si>
    <t>Записи не сложнее и не медленнее, чем в бумажном журнале; понятное подтверждение правил готовности.</t>
  </si>
  <si>
    <t>Дополнительная нагрузка; пересказ его сведений через Дасти может исказить данные.</t>
  </si>
  <si>
    <t>От него зависят полнота и своевременность данных о готовности и достоверность правил (через заказчика).</t>
  </si>
  <si>
    <t>Т-06, Т-07; А-9, А-10; риски Р2, Р9.</t>
  </si>
  <si>
    <t>Высокая как источник правил.</t>
  </si>
  <si>
    <t>Через Дасти: согласование таблицы правил готовности кобылы.</t>
  </si>
  <si>
    <t>Запрос правил до конца нулевого спринта; проверка до демонстрации итерации 1.</t>
  </si>
  <si>
    <t>Влияние 3: источник правил и данных, но не принимает результат. Интерес 3: интерфейса у него нет, работу проект почти не меняет.</t>
  </si>
  <si>
    <t>v1.0: влияние «среднее», интерес «высокое», приоритет «Высокий». v1.1: после решения «записи вносит Дасти» интерес снижен, приоритет Средний.</t>
  </si>
  <si>
    <t>С-08</t>
  </si>
  <si>
    <t>Texas Department of Agriculture и местные власти</t>
  </si>
  <si>
    <t>Требуют учёта животных, ветеринарного контроля и отчётности; при вспышке заболевания запрашивают сведения о поголовье и перемещениях.</t>
  </si>
  <si>
    <t>Быстро получать от ранчо сведения: какие лошади были, откуда прибыли, кто с кем контактировал.</t>
  </si>
  <si>
    <t>Неполные или запоздалые сведения при вспышке заболевания.</t>
  </si>
  <si>
    <t>Проверки и запросы отчётности; требования обязательны для ранчо.</t>
  </si>
  <si>
    <t>Т-02, Т-04, Т-05; ограничение: автоматическая отправка и официальные формы не входят; А-5, А-7, А-8; риски Р3, Р6.</t>
  </si>
  <si>
    <t>Высокая, это ядро: «важно, нужны быстрые справки» (И1), основная ценность (И2).</t>
  </si>
  <si>
    <t>В проекте напрямую не участвуют; состав справки уточняется у заказчика.</t>
  </si>
  <si>
    <t>Однократно до итерации 2 (состав справки и определение «контакта»).</t>
  </si>
  <si>
    <t>Влияние 5: требования обязательны, возможны санкции. Интерес 2: сталкиваются с ранчо редко, о проекте не знают.</t>
  </si>
  <si>
    <t>v1.0: влияние «высокое», интерес «низкое», приоритет «Средний» — без изменений. Значимость для заказчика (ядро) вынесена в отдельную колонку.</t>
  </si>
  <si>
    <t>С-09</t>
  </si>
  <si>
    <t>Страховые компании</t>
  </si>
  <si>
    <t>Внешняя: поставщик услуг</t>
  </si>
  <si>
    <t>Страхуют жеребцов-производителей на случай травмы или гибели; раз в год оценивают условия содержания и документы по каждому жеребцу.</t>
  </si>
  <si>
    <t>История по каждому жеребцу: что с ним было и сколько раз его использовали за сезон.</t>
  </si>
  <si>
    <t>Неполные записи затрудняют оценку и подтверждение страхового случая.</t>
  </si>
  <si>
    <t>Условия и стоимость страхования, решения по страховым случаям.</t>
  </si>
  <si>
    <t>Т-03, Т-05; ограничение: система им ничего не отправляет; риски Р3, Р6.</t>
  </si>
  <si>
    <t>Высокая, но в малом объёме (И1); входит в основную ценность (И2).</t>
  </si>
  <si>
    <t>Не участвуют; ежегодный осмотр на ранчо вне проекта; состав справки — через заказчика.</t>
  </si>
  <si>
    <t>Однократно до итерации 2.</t>
  </si>
  <si>
    <t>Влияние 4: от страховки зависит возможность держать жеребцов («без страховки рисковать нельзя»). Интерес 2: о проекте не знают.</t>
  </si>
  <si>
    <t>v1.0: влияние «среднее», интерес «низкое-среднее», приоритет «Средний». v1.1: влияние повышено до 4, уровень приоритета тот же.</t>
  </si>
  <si>
    <t>С-10</t>
  </si>
  <si>
    <t>Соседние ранчо</t>
  </si>
  <si>
    <t>Внешняя: конкуренты</t>
  </si>
  <si>
    <t>Прямые конкуренты; у части уже есть сайты с онлайн-записью; задают рыночную планку удобства для клиентов.</t>
  </si>
  <si>
    <t>К проекту ожиданий нет: о проекте не знают; их интерес — сохранить и расширить свою клиентскую базу.</t>
  </si>
  <si>
    <t>Приход конкурента с удобным онлайн-сервисом (для них) / потеря клиентов (для ранчо).</t>
  </si>
  <si>
    <t>Через рынок: удобные сервисы формируют ожидания клиентов и могут увести клиентов ранчо.</t>
  </si>
  <si>
    <t>Т-09 (заявка онлайн без звонка, ориентир — сервисы соседей); задача в ИСР: обзор онлайн-записи 2–3 соседних ранчо.</t>
  </si>
  <si>
    <t>Средняя: повод для кабинета клиента (бриф).</t>
  </si>
  <si>
    <t>Наблюдение за открытой информацией.</t>
  </si>
  <si>
    <t>Однократно в нулевом спринте.</t>
  </si>
  <si>
    <t>Влияние 2: только через рынок. Интерес 1: о проекте не знают.</t>
  </si>
  <si>
    <t>У Circle-J пока только страница в Facebook и телефон.</t>
  </si>
  <si>
    <t>С-11</t>
  </si>
  <si>
    <t>Поставщики кормов и оборудования</t>
  </si>
  <si>
    <t>Внешняя: поставщик</t>
  </si>
  <si>
    <t>Поставляют корма, подстилку, оборудование для случки: станки, ёмкости для семени, баллоны с жидким азотом.</t>
  </si>
  <si>
    <t>К проекту ожиданий нет: заказчик исключил учёт запасов и заказы поставщикам.</t>
  </si>
  <si>
    <t>Не выявлены.</t>
  </si>
  <si>
    <t>Перебои с азотом или ёмкостями останавливают доставку семени: это бизнес-риск ранчо, но не риск проекта.</t>
  </si>
  <si>
    <t>Т-12 (напоминание «проверь запас», Could); ограничение содержания: складской учёт и заказы не входят (п. 2.3 устава).</t>
  </si>
  <si>
    <t>Низкая: «не первая очередь», склад не нужен (И1).</t>
  </si>
  <si>
    <t>В проекте не участвуют.</t>
  </si>
  <si>
    <t>Не планируется.</t>
  </si>
  <si>
    <t>Влияние 2: на проект не влияют. Интерес 1: проект их не затрагивает.</t>
  </si>
  <si>
    <t>С-12</t>
  </si>
  <si>
    <t>Владельцы жеребцов на управлении</t>
  </si>
  <si>
    <t>Внешняя: клиенты и партнёры (гипотеза)</t>
  </si>
  <si>
    <t>Владельцы «пары чужих» жеребцов, которых ранчо ведёт на управлении.</t>
  </si>
  <si>
    <t>Гипотеза: видеть загрузку и историю своего жеребца, быть уверенными в его безопасности.</t>
  </si>
  <si>
    <t>Травмы и чрезмерная нагрузка на жеребца.</t>
  </si>
  <si>
    <t>Могут забрать жеребца с управления, потребовать отчётность.</t>
  </si>
  <si>
    <t>Т-01 (категория «на управлении» с признаком владельца), Т-03 (история по жеребцу); вопрос заказчику о требованиях владельцев.</t>
  </si>
  <si>
    <t>Не обсуждалась.</t>
  </si>
  <si>
    <t>Не участвуют; через заказчика.</t>
  </si>
  <si>
    <t>Вопрос на ближайшем интервью.</t>
  </si>
  <si>
    <t>Влияние 2, интерес 3: оценки гипотетические, подтвердить у заказчика.</t>
  </si>
  <si>
    <t>Гипотеза: подтвердить или снять у заказчика.</t>
  </si>
  <si>
    <t>1.0</t>
  </si>
  <si>
    <t xml:space="preserve">Комментарии </t>
  </si>
</sst>
</file>

<file path=xl/styles.xml><?xml version="1.0" encoding="utf-8"?>
<styleSheet xmlns="http://schemas.openxmlformats.org/spreadsheetml/2006/main">
  <numFmts count="1">
    <numFmt numFmtId="164" formatCode="dd\.mm\.yyyy"/>
  </numFmts>
  <fonts count="6">
    <font>
      <sz val="11"/>
      <color theme="1"/>
      <name val="Calibri"/>
      <family val="2"/>
      <charset val="1"/>
    </font>
    <font>
      <b/>
      <sz val="14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i/>
      <sz val="9"/>
      <color rgb="FF595959"/>
      <name val="Arial"/>
      <charset val="1"/>
    </font>
    <font>
      <sz val="10"/>
      <color rgb="FF0000FF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FFFFCC"/>
      </patternFill>
    </fill>
    <fill>
      <patternFill patternType="solid">
        <fgColor rgb="FFD9D9D9"/>
        <bgColor rgb="FFC6E0B4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Border="1" applyAlignment="1">
      <alignment vertical="top" wrapText="1"/>
    </xf>
    <xf numFmtId="0" fontId="1" fillId="0" borderId="0" xfId="0" applyFont="1"/>
    <xf numFmtId="0" fontId="2" fillId="2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164" fontId="3" fillId="0" borderId="1" xfId="0" applyNumberFormat="1" applyFont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/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2" fillId="0" borderId="0" xfId="0" applyFont="1" applyBorder="1" applyAlignment="1">
      <alignment vertical="top"/>
    </xf>
    <xf numFmtId="0" fontId="2" fillId="0" borderId="0" xfId="0" applyFont="1" applyBorder="1"/>
    <xf numFmtId="0" fontId="3" fillId="0" borderId="1" xfId="0" applyFont="1" applyBorder="1" applyAlignment="1">
      <alignment vertical="top" wrapText="1"/>
    </xf>
  </cellXfs>
  <cellStyles count="1">
    <cellStyle name="Normal" xfId="0" builtinId="0"/>
  </cellStyles>
  <dxfs count="3">
    <dxf>
      <fill>
        <patternFill>
          <bgColor rgb="FFC6E0B4"/>
        </patternFill>
      </fill>
    </dxf>
    <dxf>
      <fill>
        <patternFill>
          <bgColor rgb="FFFFE699"/>
        </patternFill>
      </fill>
    </dxf>
    <dxf>
      <fill>
        <patternFill>
          <bgColor rgb="FFF4B6B6"/>
        </patternFill>
      </fill>
    </dxf>
  </dxfs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4B6B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23"/>
  <sheetViews>
    <sheetView tabSelected="1" zoomScale="70" zoomScaleNormal="70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G4" sqref="G4"/>
    </sheetView>
  </sheetViews>
  <sheetFormatPr defaultColWidth="8.6640625" defaultRowHeight="14.4"/>
  <cols>
    <col min="1" max="1" width="7" customWidth="1"/>
    <col min="2" max="2" width="26" customWidth="1"/>
    <col min="3" max="3" width="20" customWidth="1"/>
    <col min="4" max="4" width="34" customWidth="1"/>
    <col min="5" max="5" width="10" customWidth="1"/>
    <col min="6" max="7" width="14" customWidth="1"/>
    <col min="8" max="8" width="12" customWidth="1"/>
    <col min="9" max="9" width="20" customWidth="1"/>
    <col min="10" max="10" width="38" customWidth="1"/>
    <col min="11" max="11" width="32" customWidth="1"/>
    <col min="12" max="12" width="34" customWidth="1"/>
    <col min="13" max="13" width="38" customWidth="1"/>
    <col min="14" max="14" width="28" customWidth="1"/>
    <col min="15" max="15" width="30" customWidth="1"/>
    <col min="16" max="16" width="28" customWidth="1"/>
    <col min="17" max="17" width="27.21875" bestFit="1" customWidth="1"/>
    <col min="18" max="18" width="42" customWidth="1"/>
    <col min="19" max="19" width="20" bestFit="1" customWidth="1"/>
    <col min="20" max="20" width="42" customWidth="1"/>
  </cols>
  <sheetData>
    <row r="1" spans="1:18" ht="17.399999999999999">
      <c r="A1" s="2" t="s">
        <v>0</v>
      </c>
    </row>
    <row r="2" spans="1:18" ht="15" customHeight="1">
      <c r="B2" s="3" t="s">
        <v>1</v>
      </c>
      <c r="C2" s="16" t="s">
        <v>2</v>
      </c>
      <c r="D2" s="16"/>
      <c r="J2" s="3" t="s">
        <v>3</v>
      </c>
      <c r="K2" s="5">
        <v>46292</v>
      </c>
    </row>
    <row r="3" spans="1:18" ht="15" customHeight="1">
      <c r="B3" s="3" t="s">
        <v>4</v>
      </c>
      <c r="C3" s="16" t="s">
        <v>5</v>
      </c>
      <c r="D3" s="16"/>
      <c r="J3" s="3" t="s">
        <v>6</v>
      </c>
      <c r="K3" s="5">
        <v>46297</v>
      </c>
    </row>
    <row r="4" spans="1:18" ht="15" customHeight="1">
      <c r="B4" s="3" t="s">
        <v>7</v>
      </c>
      <c r="C4" s="16" t="s">
        <v>8</v>
      </c>
      <c r="D4" s="16"/>
      <c r="J4" s="3" t="s">
        <v>9</v>
      </c>
      <c r="K4" s="6" t="s">
        <v>183</v>
      </c>
    </row>
    <row r="5" spans="1:18" ht="15" customHeight="1">
      <c r="B5" s="3" t="s">
        <v>10</v>
      </c>
      <c r="C5" s="16" t="s">
        <v>11</v>
      </c>
      <c r="D5" s="16"/>
      <c r="J5" s="3" t="s">
        <v>12</v>
      </c>
      <c r="K5" s="5">
        <v>46272</v>
      </c>
    </row>
    <row r="6" spans="1:18">
      <c r="B6" s="7"/>
      <c r="C6" s="8"/>
      <c r="J6" s="3" t="s">
        <v>13</v>
      </c>
      <c r="K6" s="5">
        <v>46382</v>
      </c>
    </row>
    <row r="7" spans="1:18">
      <c r="A7" s="9"/>
    </row>
    <row r="8" spans="1:18" ht="54" customHeight="1">
      <c r="A8" s="10" t="s">
        <v>14</v>
      </c>
      <c r="B8" s="10" t="s">
        <v>15</v>
      </c>
      <c r="C8" s="10" t="s">
        <v>16</v>
      </c>
      <c r="D8" s="10" t="s">
        <v>17</v>
      </c>
      <c r="E8" s="10" t="s">
        <v>18</v>
      </c>
      <c r="F8" s="10" t="s">
        <v>19</v>
      </c>
      <c r="G8" s="10" t="s">
        <v>20</v>
      </c>
      <c r="H8" s="10" t="s">
        <v>21</v>
      </c>
      <c r="I8" s="10" t="s">
        <v>22</v>
      </c>
      <c r="J8" s="10" t="s">
        <v>23</v>
      </c>
      <c r="K8" s="10" t="s">
        <v>24</v>
      </c>
      <c r="L8" s="10" t="s">
        <v>25</v>
      </c>
      <c r="M8" s="10" t="s">
        <v>26</v>
      </c>
      <c r="N8" s="10" t="s">
        <v>27</v>
      </c>
      <c r="O8" s="10" t="s">
        <v>28</v>
      </c>
      <c r="P8" s="10" t="s">
        <v>29</v>
      </c>
      <c r="Q8" s="10" t="s">
        <v>30</v>
      </c>
      <c r="R8" s="10" t="s">
        <v>184</v>
      </c>
    </row>
    <row r="9" spans="1:18" ht="92.4">
      <c r="A9" s="11" t="s">
        <v>31</v>
      </c>
      <c r="B9" s="4" t="s">
        <v>8</v>
      </c>
      <c r="C9" s="4" t="s">
        <v>32</v>
      </c>
      <c r="D9" s="4" t="s">
        <v>33</v>
      </c>
      <c r="E9" s="12">
        <v>5</v>
      </c>
      <c r="F9" s="12">
        <v>5</v>
      </c>
      <c r="G9" s="11">
        <f t="shared" ref="G9:G20" si="0">E9*F9</f>
        <v>25</v>
      </c>
      <c r="H9" s="11" t="str">
        <f t="shared" ref="H9:H20" si="1">IF(G9&gt;=15,"Высокий",IF(G9&gt;=8,"Средний","Низкий"))</f>
        <v>Высокий</v>
      </c>
      <c r="I9" s="4" t="str">
        <f t="shared" ref="I9:I20" si="2">IF(G9&gt;=15,"Управлять (тесное взаимодействие)",IF(G9&gt;=8,IF(E9&gt;F9,"Удовлетворять","Информировать"),"Мониторить"))</f>
        <v>Управлять (тесное взаимодействие)</v>
      </c>
      <c r="J9" s="4" t="s">
        <v>34</v>
      </c>
      <c r="K9" s="4" t="s">
        <v>35</v>
      </c>
      <c r="L9" s="4" t="s">
        <v>36</v>
      </c>
      <c r="M9" s="4" t="s">
        <v>37</v>
      </c>
      <c r="N9" s="4" t="s">
        <v>38</v>
      </c>
      <c r="O9" s="4" t="s">
        <v>39</v>
      </c>
      <c r="P9" s="4" t="s">
        <v>40</v>
      </c>
      <c r="Q9" s="4" t="s">
        <v>41</v>
      </c>
      <c r="R9" s="4" t="s">
        <v>42</v>
      </c>
    </row>
    <row r="10" spans="1:18" ht="66">
      <c r="A10" s="11" t="s">
        <v>43</v>
      </c>
      <c r="B10" s="4" t="s">
        <v>44</v>
      </c>
      <c r="C10" s="4" t="s">
        <v>45</v>
      </c>
      <c r="D10" s="4" t="s">
        <v>46</v>
      </c>
      <c r="E10" s="12">
        <v>4</v>
      </c>
      <c r="F10" s="12">
        <v>5</v>
      </c>
      <c r="G10" s="11">
        <f t="shared" si="0"/>
        <v>20</v>
      </c>
      <c r="H10" s="11" t="str">
        <f t="shared" si="1"/>
        <v>Высокий</v>
      </c>
      <c r="I10" s="4" t="str">
        <f t="shared" si="2"/>
        <v>Управлять (тесное взаимодействие)</v>
      </c>
      <c r="J10" s="4" t="s">
        <v>47</v>
      </c>
      <c r="K10" s="4" t="s">
        <v>48</v>
      </c>
      <c r="L10" s="4" t="s">
        <v>49</v>
      </c>
      <c r="M10" s="4" t="s">
        <v>50</v>
      </c>
      <c r="N10" s="4" t="s">
        <v>51</v>
      </c>
      <c r="O10" s="4" t="s">
        <v>52</v>
      </c>
      <c r="P10" s="4" t="s">
        <v>53</v>
      </c>
      <c r="Q10" s="4" t="s">
        <v>54</v>
      </c>
      <c r="R10" s="4" t="s">
        <v>55</v>
      </c>
    </row>
    <row r="11" spans="1:18" ht="79.2">
      <c r="A11" s="11" t="s">
        <v>56</v>
      </c>
      <c r="B11" s="4" t="s">
        <v>57</v>
      </c>
      <c r="C11" s="4" t="s">
        <v>58</v>
      </c>
      <c r="D11" s="4" t="s">
        <v>59</v>
      </c>
      <c r="E11" s="12">
        <v>3</v>
      </c>
      <c r="F11" s="12">
        <v>4</v>
      </c>
      <c r="G11" s="11">
        <f t="shared" si="0"/>
        <v>12</v>
      </c>
      <c r="H11" s="11" t="str">
        <f t="shared" si="1"/>
        <v>Средний</v>
      </c>
      <c r="I11" s="4" t="str">
        <f t="shared" si="2"/>
        <v>Информировать</v>
      </c>
      <c r="J11" s="4" t="s">
        <v>60</v>
      </c>
      <c r="K11" s="4" t="s">
        <v>61</v>
      </c>
      <c r="L11" s="4" t="s">
        <v>62</v>
      </c>
      <c r="M11" s="4" t="s">
        <v>63</v>
      </c>
      <c r="N11" s="4" t="s">
        <v>64</v>
      </c>
      <c r="O11" s="4" t="s">
        <v>65</v>
      </c>
      <c r="P11" s="4" t="s">
        <v>66</v>
      </c>
      <c r="Q11" s="4" t="s">
        <v>67</v>
      </c>
      <c r="R11" s="4" t="s">
        <v>68</v>
      </c>
    </row>
    <row r="12" spans="1:18" ht="52.8">
      <c r="A12" s="11" t="s">
        <v>69</v>
      </c>
      <c r="B12" s="4" t="s">
        <v>70</v>
      </c>
      <c r="C12" s="4" t="s">
        <v>71</v>
      </c>
      <c r="D12" s="4" t="s">
        <v>72</v>
      </c>
      <c r="E12" s="12">
        <v>2</v>
      </c>
      <c r="F12" s="12">
        <v>3</v>
      </c>
      <c r="G12" s="11">
        <f t="shared" si="0"/>
        <v>6</v>
      </c>
      <c r="H12" s="11" t="str">
        <f t="shared" si="1"/>
        <v>Низкий</v>
      </c>
      <c r="I12" s="4" t="str">
        <f t="shared" si="2"/>
        <v>Мониторить</v>
      </c>
      <c r="J12" s="4" t="s">
        <v>73</v>
      </c>
      <c r="K12" s="4" t="s">
        <v>74</v>
      </c>
      <c r="L12" s="4" t="s">
        <v>75</v>
      </c>
      <c r="M12" s="4" t="s">
        <v>76</v>
      </c>
      <c r="N12" s="4" t="s">
        <v>77</v>
      </c>
      <c r="O12" s="4" t="s">
        <v>78</v>
      </c>
      <c r="P12" s="4" t="s">
        <v>79</v>
      </c>
      <c r="Q12" s="4" t="s">
        <v>80</v>
      </c>
      <c r="R12" s="4" t="s">
        <v>81</v>
      </c>
    </row>
    <row r="13" spans="1:18" ht="39.6">
      <c r="A13" s="11" t="s">
        <v>82</v>
      </c>
      <c r="B13" s="4" t="s">
        <v>83</v>
      </c>
      <c r="C13" s="4" t="s">
        <v>84</v>
      </c>
      <c r="D13" s="4" t="s">
        <v>85</v>
      </c>
      <c r="E13" s="12">
        <v>5</v>
      </c>
      <c r="F13" s="12">
        <v>5</v>
      </c>
      <c r="G13" s="11">
        <f t="shared" si="0"/>
        <v>25</v>
      </c>
      <c r="H13" s="11" t="str">
        <f t="shared" si="1"/>
        <v>Высокий</v>
      </c>
      <c r="I13" s="4" t="str">
        <f t="shared" si="2"/>
        <v>Управлять (тесное взаимодействие)</v>
      </c>
      <c r="J13" s="4" t="s">
        <v>86</v>
      </c>
      <c r="K13" s="4" t="s">
        <v>87</v>
      </c>
      <c r="L13" s="4" t="s">
        <v>88</v>
      </c>
      <c r="M13" s="4" t="s">
        <v>89</v>
      </c>
      <c r="N13" s="4" t="s">
        <v>90</v>
      </c>
      <c r="O13" s="4" t="s">
        <v>91</v>
      </c>
      <c r="P13" s="4" t="s">
        <v>92</v>
      </c>
      <c r="Q13" s="4" t="s">
        <v>93</v>
      </c>
      <c r="R13" s="4"/>
    </row>
    <row r="14" spans="1:18" ht="66">
      <c r="A14" s="11" t="s">
        <v>94</v>
      </c>
      <c r="B14" s="4" t="s">
        <v>95</v>
      </c>
      <c r="C14" s="4" t="s">
        <v>96</v>
      </c>
      <c r="D14" s="4" t="s">
        <v>97</v>
      </c>
      <c r="E14" s="12">
        <v>4</v>
      </c>
      <c r="F14" s="12">
        <v>2</v>
      </c>
      <c r="G14" s="11">
        <f t="shared" si="0"/>
        <v>8</v>
      </c>
      <c r="H14" s="11" t="str">
        <f t="shared" si="1"/>
        <v>Средний</v>
      </c>
      <c r="I14" s="4" t="str">
        <f t="shared" si="2"/>
        <v>Удовлетворять</v>
      </c>
      <c r="J14" s="4" t="s">
        <v>98</v>
      </c>
      <c r="K14" s="4" t="s">
        <v>99</v>
      </c>
      <c r="L14" s="4" t="s">
        <v>100</v>
      </c>
      <c r="M14" s="4" t="s">
        <v>101</v>
      </c>
      <c r="N14" s="4" t="s">
        <v>102</v>
      </c>
      <c r="O14" s="4" t="s">
        <v>103</v>
      </c>
      <c r="P14" s="4" t="s">
        <v>104</v>
      </c>
      <c r="Q14" s="4" t="s">
        <v>105</v>
      </c>
      <c r="R14" s="4" t="s">
        <v>106</v>
      </c>
    </row>
    <row r="15" spans="1:18" ht="79.2">
      <c r="A15" s="11" t="s">
        <v>107</v>
      </c>
      <c r="B15" s="4" t="s">
        <v>108</v>
      </c>
      <c r="C15" s="4" t="s">
        <v>109</v>
      </c>
      <c r="D15" s="4" t="s">
        <v>110</v>
      </c>
      <c r="E15" s="12">
        <v>3</v>
      </c>
      <c r="F15" s="12">
        <v>3</v>
      </c>
      <c r="G15" s="11">
        <f t="shared" si="0"/>
        <v>9</v>
      </c>
      <c r="H15" s="11" t="str">
        <f t="shared" si="1"/>
        <v>Средний</v>
      </c>
      <c r="I15" s="4" t="str">
        <f t="shared" si="2"/>
        <v>Информировать</v>
      </c>
      <c r="J15" s="4" t="s">
        <v>111</v>
      </c>
      <c r="K15" s="4" t="s">
        <v>112</v>
      </c>
      <c r="L15" s="4" t="s">
        <v>113</v>
      </c>
      <c r="M15" s="4" t="s">
        <v>114</v>
      </c>
      <c r="N15" s="4" t="s">
        <v>115</v>
      </c>
      <c r="O15" s="4" t="s">
        <v>116</v>
      </c>
      <c r="P15" s="4" t="s">
        <v>117</v>
      </c>
      <c r="Q15" s="4" t="s">
        <v>118</v>
      </c>
      <c r="R15" s="4" t="s">
        <v>119</v>
      </c>
    </row>
    <row r="16" spans="1:18" ht="66">
      <c r="A16" s="11" t="s">
        <v>120</v>
      </c>
      <c r="B16" s="4" t="s">
        <v>121</v>
      </c>
      <c r="C16" s="4" t="s">
        <v>96</v>
      </c>
      <c r="D16" s="4" t="s">
        <v>122</v>
      </c>
      <c r="E16" s="12">
        <v>5</v>
      </c>
      <c r="F16" s="12">
        <v>2</v>
      </c>
      <c r="G16" s="11">
        <f t="shared" si="0"/>
        <v>10</v>
      </c>
      <c r="H16" s="11" t="str">
        <f t="shared" si="1"/>
        <v>Средний</v>
      </c>
      <c r="I16" s="4" t="str">
        <f t="shared" si="2"/>
        <v>Удовлетворять</v>
      </c>
      <c r="J16" s="4" t="s">
        <v>123</v>
      </c>
      <c r="K16" s="4" t="s">
        <v>124</v>
      </c>
      <c r="L16" s="4" t="s">
        <v>125</v>
      </c>
      <c r="M16" s="4" t="s">
        <v>126</v>
      </c>
      <c r="N16" s="4" t="s">
        <v>127</v>
      </c>
      <c r="O16" s="4" t="s">
        <v>128</v>
      </c>
      <c r="P16" s="4" t="s">
        <v>129</v>
      </c>
      <c r="Q16" s="4" t="s">
        <v>130</v>
      </c>
      <c r="R16" s="4" t="s">
        <v>131</v>
      </c>
    </row>
    <row r="17" spans="1:18" ht="79.2">
      <c r="A17" s="11" t="s">
        <v>132</v>
      </c>
      <c r="B17" s="4" t="s">
        <v>133</v>
      </c>
      <c r="C17" s="4" t="s">
        <v>134</v>
      </c>
      <c r="D17" s="4" t="s">
        <v>135</v>
      </c>
      <c r="E17" s="12">
        <v>4</v>
      </c>
      <c r="F17" s="12">
        <v>2</v>
      </c>
      <c r="G17" s="11">
        <f t="shared" si="0"/>
        <v>8</v>
      </c>
      <c r="H17" s="11" t="str">
        <f t="shared" si="1"/>
        <v>Средний</v>
      </c>
      <c r="I17" s="4" t="str">
        <f t="shared" si="2"/>
        <v>Удовлетворять</v>
      </c>
      <c r="J17" s="4" t="s">
        <v>136</v>
      </c>
      <c r="K17" s="4" t="s">
        <v>137</v>
      </c>
      <c r="L17" s="4" t="s">
        <v>138</v>
      </c>
      <c r="M17" s="4" t="s">
        <v>139</v>
      </c>
      <c r="N17" s="4" t="s">
        <v>140</v>
      </c>
      <c r="O17" s="4" t="s">
        <v>141</v>
      </c>
      <c r="P17" s="4" t="s">
        <v>142</v>
      </c>
      <c r="Q17" s="4" t="s">
        <v>143</v>
      </c>
      <c r="R17" s="4" t="s">
        <v>144</v>
      </c>
    </row>
    <row r="18" spans="1:18" ht="52.8">
      <c r="A18" s="11" t="s">
        <v>145</v>
      </c>
      <c r="B18" s="4" t="s">
        <v>146</v>
      </c>
      <c r="C18" s="4" t="s">
        <v>147</v>
      </c>
      <c r="D18" s="4" t="s">
        <v>148</v>
      </c>
      <c r="E18" s="12">
        <v>2</v>
      </c>
      <c r="F18" s="12">
        <v>1</v>
      </c>
      <c r="G18" s="11">
        <f t="shared" si="0"/>
        <v>2</v>
      </c>
      <c r="H18" s="11" t="str">
        <f t="shared" si="1"/>
        <v>Низкий</v>
      </c>
      <c r="I18" s="4" t="str">
        <f t="shared" si="2"/>
        <v>Мониторить</v>
      </c>
      <c r="J18" s="4" t="s">
        <v>149</v>
      </c>
      <c r="K18" s="4" t="s">
        <v>150</v>
      </c>
      <c r="L18" s="4" t="s">
        <v>151</v>
      </c>
      <c r="M18" s="4" t="s">
        <v>152</v>
      </c>
      <c r="N18" s="4" t="s">
        <v>153</v>
      </c>
      <c r="O18" s="4" t="s">
        <v>154</v>
      </c>
      <c r="P18" s="4" t="s">
        <v>155</v>
      </c>
      <c r="Q18" s="4" t="s">
        <v>156</v>
      </c>
      <c r="R18" s="4" t="s">
        <v>157</v>
      </c>
    </row>
    <row r="19" spans="1:18" ht="52.8">
      <c r="A19" s="11" t="s">
        <v>158</v>
      </c>
      <c r="B19" s="4" t="s">
        <v>159</v>
      </c>
      <c r="C19" s="4" t="s">
        <v>160</v>
      </c>
      <c r="D19" s="4" t="s">
        <v>161</v>
      </c>
      <c r="E19" s="12">
        <v>2</v>
      </c>
      <c r="F19" s="12">
        <v>1</v>
      </c>
      <c r="G19" s="11">
        <f t="shared" si="0"/>
        <v>2</v>
      </c>
      <c r="H19" s="11" t="str">
        <f t="shared" si="1"/>
        <v>Низкий</v>
      </c>
      <c r="I19" s="4" t="str">
        <f t="shared" si="2"/>
        <v>Мониторить</v>
      </c>
      <c r="J19" s="4" t="s">
        <v>162</v>
      </c>
      <c r="K19" s="4" t="s">
        <v>163</v>
      </c>
      <c r="L19" s="4" t="s">
        <v>164</v>
      </c>
      <c r="M19" s="4" t="s">
        <v>165</v>
      </c>
      <c r="N19" s="4" t="s">
        <v>166</v>
      </c>
      <c r="O19" s="4" t="s">
        <v>167</v>
      </c>
      <c r="P19" s="4" t="s">
        <v>168</v>
      </c>
      <c r="Q19" s="4" t="s">
        <v>169</v>
      </c>
      <c r="R19" s="4"/>
    </row>
    <row r="20" spans="1:18" ht="52.8">
      <c r="A20" s="11" t="s">
        <v>170</v>
      </c>
      <c r="B20" s="4" t="s">
        <v>171</v>
      </c>
      <c r="C20" s="4" t="s">
        <v>172</v>
      </c>
      <c r="D20" s="4" t="s">
        <v>173</v>
      </c>
      <c r="E20" s="12">
        <v>2</v>
      </c>
      <c r="F20" s="12">
        <v>3</v>
      </c>
      <c r="G20" s="11">
        <f t="shared" si="0"/>
        <v>6</v>
      </c>
      <c r="H20" s="11" t="str">
        <f t="shared" si="1"/>
        <v>Низкий</v>
      </c>
      <c r="I20" s="4" t="str">
        <f t="shared" si="2"/>
        <v>Мониторить</v>
      </c>
      <c r="J20" s="4" t="s">
        <v>174</v>
      </c>
      <c r="K20" s="4" t="s">
        <v>175</v>
      </c>
      <c r="L20" s="4" t="s">
        <v>176</v>
      </c>
      <c r="M20" s="4" t="s">
        <v>177</v>
      </c>
      <c r="N20" s="4" t="s">
        <v>178</v>
      </c>
      <c r="O20" s="4" t="s">
        <v>179</v>
      </c>
      <c r="P20" s="4" t="s">
        <v>180</v>
      </c>
      <c r="Q20" s="4" t="s">
        <v>181</v>
      </c>
      <c r="R20" s="4" t="s">
        <v>182</v>
      </c>
    </row>
    <row r="22" spans="1:18" ht="27.75" customHeight="1">
      <c r="B22" s="1"/>
      <c r="C22" s="1"/>
      <c r="D22" s="14"/>
      <c r="E22" s="1"/>
      <c r="F22" s="1"/>
      <c r="G22" s="13"/>
    </row>
    <row r="23" spans="1:18">
      <c r="B23" s="15"/>
      <c r="C23" s="15"/>
      <c r="D23" s="15"/>
      <c r="E23" s="15"/>
      <c r="F23" s="15"/>
      <c r="G23" s="13"/>
    </row>
  </sheetData>
  <autoFilter ref="A8:T20"/>
  <mergeCells count="5">
    <mergeCell ref="B23:F23"/>
    <mergeCell ref="C2:D2"/>
    <mergeCell ref="C3:D3"/>
    <mergeCell ref="C4:D4"/>
    <mergeCell ref="C5:D5"/>
  </mergeCells>
  <conditionalFormatting sqref="H9:H20">
    <cfRule type="cellIs" dxfId="2" priority="2" operator="equal">
      <formula>"Высокий"</formula>
    </cfRule>
    <cfRule type="cellIs" dxfId="1" priority="3" operator="equal">
      <formula>"Средний"</formula>
    </cfRule>
    <cfRule type="cellIs" dxfId="0" priority="4" operator="equal">
      <formula>"Низкий"</formula>
    </cfRule>
  </conditionalFormatting>
  <dataValidations count="1">
    <dataValidation type="whole" showErrorMessage="1" errorTitle="Шкала 1–5" error="Введите целое число от 1 до 5" sqref="E9:F20">
      <formula1>1</formula1>
      <formula2>5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Реестр</vt:lpstr>
      <vt:lpstr>Реестр!Print_Titles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Пользователь Windows</cp:lastModifiedBy>
  <cp:revision>0</cp:revision>
  <dcterms:created xsi:type="dcterms:W3CDTF">2026-10-02T19:04:20Z</dcterms:created>
  <dcterms:modified xsi:type="dcterms:W3CDTF">2026-10-02T23:29:01Z</dcterms:modified>
  <dc:language>en-US</dc:language>
</cp:coreProperties>
</file>