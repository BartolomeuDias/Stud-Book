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Бэклог продукта" sheetId="1" r:id="rId1"/>
    <sheet name="План итераций" sheetId="2" r:id="rId2"/>
    <sheet name="Пакеты ИСР" sheetId="3" r:id="rId3"/>
    <sheet name="Пояснения" sheetId="4" r:id="rId4"/>
  </sheets>
  <definedNames>
    <definedName name="_xlnm._FilterDatabase" localSheetId="0" hidden="1">'Бэклог продукта'!$A$4:$Q$55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3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30" s="1"/>
  <c r="H14" i="2"/>
  <c r="F13"/>
  <c r="G11"/>
  <c r="F11"/>
  <c r="G10"/>
  <c r="F10"/>
  <c r="G9"/>
  <c r="F9"/>
  <c r="G8"/>
  <c r="F8"/>
  <c r="G7"/>
  <c r="F7"/>
  <c r="G6"/>
  <c r="F6"/>
  <c r="G5"/>
  <c r="G12" s="1"/>
  <c r="F5"/>
  <c r="F12" s="1"/>
  <c r="M55" i="1"/>
  <c r="K55"/>
  <c r="I55"/>
  <c r="M54"/>
  <c r="K54"/>
  <c r="I54"/>
  <c r="M53"/>
  <c r="K53"/>
  <c r="I53"/>
  <c r="M52"/>
  <c r="K52"/>
  <c r="I52"/>
  <c r="M51"/>
  <c r="K51"/>
  <c r="I51"/>
  <c r="M50"/>
  <c r="K50"/>
  <c r="I50"/>
  <c r="M49"/>
  <c r="K49"/>
  <c r="I49"/>
  <c r="M48"/>
  <c r="K48"/>
  <c r="I48"/>
  <c r="M47"/>
  <c r="K47"/>
  <c r="I47"/>
  <c r="M46"/>
  <c r="K46"/>
  <c r="I46"/>
  <c r="M45"/>
  <c r="K45"/>
  <c r="I45"/>
  <c r="M44"/>
  <c r="K44"/>
  <c r="I44"/>
  <c r="M43"/>
  <c r="K43"/>
  <c r="I43"/>
  <c r="M42"/>
  <c r="H11" i="2" s="1"/>
  <c r="K42" i="1"/>
  <c r="I42"/>
  <c r="M41"/>
  <c r="K41"/>
  <c r="I41"/>
  <c r="M40"/>
  <c r="K40"/>
  <c r="I40"/>
  <c r="M39"/>
  <c r="K39"/>
  <c r="I39"/>
  <c r="M38"/>
  <c r="K38"/>
  <c r="I38"/>
  <c r="M37"/>
  <c r="H10" i="2" s="1"/>
  <c r="K37" i="1"/>
  <c r="I37"/>
  <c r="M36"/>
  <c r="K36"/>
  <c r="I36"/>
  <c r="M35"/>
  <c r="K35"/>
  <c r="I35"/>
  <c r="M34"/>
  <c r="K34"/>
  <c r="I34"/>
  <c r="M33"/>
  <c r="K33"/>
  <c r="I33"/>
  <c r="M32"/>
  <c r="K32"/>
  <c r="I32"/>
  <c r="M31"/>
  <c r="K31"/>
  <c r="I31"/>
  <c r="M30"/>
  <c r="K30"/>
  <c r="I30"/>
  <c r="M29"/>
  <c r="K29"/>
  <c r="I29"/>
  <c r="M28"/>
  <c r="H9" i="2" s="1"/>
  <c r="K28" i="1"/>
  <c r="I28"/>
  <c r="M27"/>
  <c r="K27"/>
  <c r="I27"/>
  <c r="M26"/>
  <c r="H8" i="2" s="1"/>
  <c r="K26" i="1"/>
  <c r="I26"/>
  <c r="M25"/>
  <c r="K25"/>
  <c r="I25"/>
  <c r="M24"/>
  <c r="K24"/>
  <c r="I24"/>
  <c r="M23"/>
  <c r="K23"/>
  <c r="I23"/>
  <c r="M22"/>
  <c r="K22"/>
  <c r="I22"/>
  <c r="M21"/>
  <c r="K21"/>
  <c r="I21"/>
  <c r="M20"/>
  <c r="K20"/>
  <c r="I20"/>
  <c r="M19"/>
  <c r="K19"/>
  <c r="I19"/>
  <c r="M18"/>
  <c r="K18"/>
  <c r="I18"/>
  <c r="M17"/>
  <c r="H7" i="2" s="1"/>
  <c r="K17" i="1"/>
  <c r="I17"/>
  <c r="M16"/>
  <c r="K16"/>
  <c r="I16"/>
  <c r="M15"/>
  <c r="K15"/>
  <c r="I15"/>
  <c r="M14"/>
  <c r="K14"/>
  <c r="I14"/>
  <c r="M13"/>
  <c r="K13"/>
  <c r="I13"/>
  <c r="M12"/>
  <c r="H6" i="2" s="1"/>
  <c r="K12" i="1"/>
  <c r="I12"/>
  <c r="M11"/>
  <c r="K11"/>
  <c r="I11"/>
  <c r="M10"/>
  <c r="K10"/>
  <c r="I10"/>
  <c r="M9"/>
  <c r="K9"/>
  <c r="I9"/>
  <c r="M8"/>
  <c r="K8"/>
  <c r="I8"/>
  <c r="M7"/>
  <c r="K7"/>
  <c r="I7"/>
  <c r="M6"/>
  <c r="K6"/>
  <c r="I6"/>
  <c r="M5"/>
  <c r="H5" i="2" s="1"/>
  <c r="K5" i="1"/>
  <c r="I5"/>
  <c r="H12" i="2" l="1"/>
</calcChain>
</file>

<file path=xl/sharedStrings.xml><?xml version="1.0" encoding="utf-8"?>
<sst xmlns="http://schemas.openxmlformats.org/spreadsheetml/2006/main" count="783" uniqueCount="371">
  <si>
    <t>Бэклог продукта Stud Book</t>
  </si>
  <si>
    <t>Порядок строк — порядок выполнения (ранг 1 — первым). Приоритет MoSCoW по уставу. Итерации и вехи — по базовому плану (расписание v1.0, вариант Б). Оценка в часах — ориентир: остаток трудоёмкости пакета, делённый поровну на позиции с этим пакетом. Столбец «Оценка, SP» заполняется на покере планирования.</t>
  </si>
  <si>
    <t>Ранг</t>
  </si>
  <si>
    <t>ID</t>
  </si>
  <si>
    <t>Тип</t>
  </si>
  <si>
    <t>Роль или представление</t>
  </si>
  <si>
    <t>Название</t>
  </si>
  <si>
    <t>Описание</t>
  </si>
  <si>
    <t>Приоритет MoSCoW</t>
  </si>
  <si>
    <t>Основной пакет ИСР</t>
  </si>
  <si>
    <t>Предшественники пакета</t>
  </si>
  <si>
    <t>Итерация</t>
  </si>
  <si>
    <t>Веха и дата</t>
  </si>
  <si>
    <t>Критерий приёмки (п. 2.4)</t>
  </si>
  <si>
    <t>Оценка, ч (ориентир)</t>
  </si>
  <si>
    <t>Оценка, SP</t>
  </si>
  <si>
    <t>Статус</t>
  </si>
  <si>
    <t>Требование или допущение</t>
  </si>
  <si>
    <t>Примечание</t>
  </si>
  <si>
    <t>W-1.1</t>
  </si>
  <si>
    <t>Работа по ИСР</t>
  </si>
  <si>
    <t>Команда</t>
  </si>
  <si>
    <t>Инициация проекта</t>
  </si>
  <si>
    <t>Устав, реестр заинтересованных сторон, отчёт о применимости методологий.</t>
  </si>
  <si>
    <t>Must</t>
  </si>
  <si>
    <t>1.1</t>
  </si>
  <si>
    <t>Нулевой спринт</t>
  </si>
  <si>
    <t>Выполнено</t>
  </si>
  <si>
    <t>Выполнено до фазы 3</t>
  </si>
  <si>
    <t>W-2.2</t>
  </si>
  <si>
    <t>Проектирование архитектуры и базы данных</t>
  </si>
  <si>
    <t>Структура клиент, сервер, заглушки; модель данных; две роли.</t>
  </si>
  <si>
    <t>2.2</t>
  </si>
  <si>
    <t>К выполнению</t>
  </si>
  <si>
    <t>W-2.4</t>
  </si>
  <si>
    <t>Подготовка среды и инструментов</t>
  </si>
  <si>
    <t>Репозиторий GitHub, Issues и Projects, Figma, каркас приложения, демонстрационный стенд.</t>
  </si>
  <si>
    <t>2.4</t>
  </si>
  <si>
    <t>SH-01</t>
  </si>
  <si>
    <t>Обеспечивающая история</t>
  </si>
  <si>
    <t>Все роли</t>
  </si>
  <si>
    <t>Вход и выбор роли</t>
  </si>
  <si>
    <t>Как пользователь системы, я хочу войти и выбрать роль (клиент или сотрудник ранчо), чтобы видеть только нужные мне экраны.</t>
  </si>
  <si>
    <t>11</t>
  </si>
  <si>
    <t>А-11</t>
  </si>
  <si>
    <t>Пакет 2.4 делится с работой W-2.4: вес по умолчанию равный, уточнить на покере</t>
  </si>
  <si>
    <t>SH-02</t>
  </si>
  <si>
    <t>Стиль «племенной книги»</t>
  </si>
  <si>
    <t>Как заказчик, я хочу, чтобы интерфейс был оформлен в духе «племенной книги» и не напоминал приложение для знакомств, чтобы продукт подходил ранчо.</t>
  </si>
  <si>
    <t>2.3</t>
  </si>
  <si>
    <t>12</t>
  </si>
  <si>
    <t>Т-13</t>
  </si>
  <si>
    <t>SH-03</t>
  </si>
  <si>
    <t>Английский язык и адаптивная раскладка</t>
  </si>
  <si>
    <t>Как клиент или сотрудник ранчо, я хочу пользоваться системой на английском языке с телефона, планшета и компьютера, чтобы работать в ней откуда угодно.</t>
  </si>
  <si>
    <t>Should</t>
  </si>
  <si>
    <t>Т-14; А-12</t>
  </si>
  <si>
    <t>Допущение А-12 ещё не подтверждено заказчиком</t>
  </si>
  <si>
    <t>W-1.2</t>
  </si>
  <si>
    <t>Планирование проекта (остаток)</t>
  </si>
  <si>
    <t>Story map, бэклог продукта, план итерации 1; далее планирование перед каждой итерацией.</t>
  </si>
  <si>
    <t>1.2</t>
  </si>
  <si>
    <t>Планирование следующих итераций повторяется перед каждой</t>
  </si>
  <si>
    <t>OW-15</t>
  </si>
  <si>
    <t>История</t>
  </si>
  <si>
    <t>Сотрудник ранчо, Владелец (Дасти)</t>
  </si>
  <si>
    <t>Таблица правил совместимости</t>
  </si>
  <si>
    <t>Как сотрудник ранчо, я хочу, чтобы правила допустимости пар хранились единой таблицей, согласованной с ветеринаром, чтобы все проверки шли по одним правилам.</t>
  </si>
  <si>
    <t>4.1</t>
  </si>
  <si>
    <t>Итерация 1</t>
  </si>
  <si>
    <t>7</t>
  </si>
  <si>
    <t>Т-07; А-9</t>
  </si>
  <si>
    <t>Таблицу правил даёт заказчик с ветеринаром до 14.11.2026 (А-9); начать первой. Риск Р2</t>
  </si>
  <si>
    <t>OW-01</t>
  </si>
  <si>
    <t>Реестр лошадей трёх категорий</t>
  </si>
  <si>
    <t>Как сотрудник ранчо, я хочу видеть реестр лошадей трёх категорий (свои жеребцы, жеребцы на управлении, кобылы клиентов), чтобы знать, кто есть на ранчо.</t>
  </si>
  <si>
    <t>3.1</t>
  </si>
  <si>
    <t>1</t>
  </si>
  <si>
    <t>Т-01</t>
  </si>
  <si>
    <t>OW-02</t>
  </si>
  <si>
    <t>Карточка лошади с родословной</t>
  </si>
  <si>
    <t>Как сотрудник ранчо, я хочу открыть карточку лошади с родословной минимум на два поколения, чтобы проверять происхождение без бумажного журнала.</t>
  </si>
  <si>
    <t>OW-03</t>
  </si>
  <si>
    <t>Добавить лошадь в реестр</t>
  </si>
  <si>
    <t>Как сотрудник ранчо, я хочу добавить лошадь в реестр и указать её происхождение, чтобы реестр оставался актуальным.</t>
  </si>
  <si>
    <t>Вывод команды, подтвердить с заказчиком</t>
  </si>
  <si>
    <t>SH-04</t>
  </si>
  <si>
    <t>Демонстрационные данные</t>
  </si>
  <si>
    <t>Как заказчик, я хочу видеть систему с демонстрационными данными (15 лошадей, 6 клиентов, 25 записей размещения и другие), чтобы оценить её работу на показе.</t>
  </si>
  <si>
    <t>2.5</t>
  </si>
  <si>
    <t>14</t>
  </si>
  <si>
    <t>п. 2.1 устава</t>
  </si>
  <si>
    <t>OW-04</t>
  </si>
  <si>
    <t>Зафиксировать прибытие лошади</t>
  </si>
  <si>
    <t>Как сотрудник ранчо, я хочу зафиксировать прибытие лошади (дата, место, откуда прибыла), чтобы всегда знать, откуда она появилась.</t>
  </si>
  <si>
    <t>3.2</t>
  </si>
  <si>
    <t>Итерация 2</t>
  </si>
  <si>
    <t>2</t>
  </si>
  <si>
    <t>Т-02; А-8</t>
  </si>
  <si>
    <t>OW-05</t>
  </si>
  <si>
    <t>Зафиксировать отъезд лошади</t>
  </si>
  <si>
    <t>Как сотрудник ранчо, я хочу зафиксировать отъезд лошади, чтобы реестр показывал только тех, кто сейчас на ранчо.</t>
  </si>
  <si>
    <t>OW-06</t>
  </si>
  <si>
    <t>Где стоит лошадь и где была</t>
  </si>
  <si>
    <t>Как сотрудник ранчо, я хочу видеть, где сейчас стоит лошадь и где она была раньше, чтобы быстро отвечать на вопросы клиентов и регуляторов.</t>
  </si>
  <si>
    <t>OW-07</t>
  </si>
  <si>
    <t>Запись о готовности кобылы</t>
  </si>
  <si>
    <t>Как сотрудник ранчо, я хочу внести запись о готовности кобылы простой формой (не более семи полей и трёх шагов), чтобы сведения ветеринара не терялись.</t>
  </si>
  <si>
    <t>3.3</t>
  </si>
  <si>
    <t>6</t>
  </si>
  <si>
    <t>Т-06; Т-15; А-10</t>
  </si>
  <si>
    <t>OW-08</t>
  </si>
  <si>
    <t>Запись о травме или происшествии</t>
  </si>
  <si>
    <t>Как сотрудник ранчо, я хочу внести запись о травме или происшествии, чтобы она попадала в историю лошади.</t>
  </si>
  <si>
    <t>Т-06; А-10</t>
  </si>
  <si>
    <t>OW-09</t>
  </si>
  <si>
    <t>Запись о состоянии лошади</t>
  </si>
  <si>
    <t>Как сотрудник ранчо, я хочу внести запись о состоянии лошади, чтобы история была полной.</t>
  </si>
  <si>
    <t>Т-06; Т-15</t>
  </si>
  <si>
    <t>SH-05</t>
  </si>
  <si>
    <t>Заглушки пяти внешних сервисов</t>
  </si>
  <si>
    <t>Как заказчик, я хочу, чтобы платежи, рассылки, обмен с породной ассоциацией, доставка семени и выгрузка справок были показаны заглушками, чтобы проверить сценарии без реальных интеграций.</t>
  </si>
  <si>
    <t>6.1</t>
  </si>
  <si>
    <t>13</t>
  </si>
  <si>
    <t>А-1…А-5</t>
  </si>
  <si>
    <t>OW-12</t>
  </si>
  <si>
    <t>Выгрузить справку файлом (заглушка)</t>
  </si>
  <si>
    <t>Как сотрудник ранчо, я хочу выгрузить справку в файл, чтобы передать её страховщику или регулятору.</t>
  </si>
  <si>
    <t>5</t>
  </si>
  <si>
    <t>Т-05; А-5</t>
  </si>
  <si>
    <t>Образец файла статичный (А-5). Кнопка подключается к справкам в итерации 3 вместе с 3.4 и 3.5</t>
  </si>
  <si>
    <t>CL-07</t>
  </si>
  <si>
    <t>Клиент</t>
  </si>
  <si>
    <t>Уведомление о статусе (заглушка)</t>
  </si>
  <si>
    <t>Как клиент, я хочу получать уведомление об изменении статуса заявки, чтобы не заходить в систему без необходимости.</t>
  </si>
  <si>
    <t>Could</t>
  </si>
  <si>
    <t>А-2</t>
  </si>
  <si>
    <t>Заглушка рассылки (А-2): записи в интерфейсе, демонстрируется на демоданных</t>
  </si>
  <si>
    <t>OW-10</t>
  </si>
  <si>
    <t>Справка «История жеребца»</t>
  </si>
  <si>
    <t>Как сотрудник ранчо, я хочу собрать историю жеребца (число случек за сезон, происшествия, записи о состоянии) не более чем за три перехода, чтобы показать её страховщику.</t>
  </si>
  <si>
    <t>3.4</t>
  </si>
  <si>
    <t>Итерация 3</t>
  </si>
  <si>
    <t>3</t>
  </si>
  <si>
    <t>Т-03</t>
  </si>
  <si>
    <t>OW-11</t>
  </si>
  <si>
    <t>Справка «Перемещения и контакты»</t>
  </si>
  <si>
    <t>Как сотрудник ранчо, я хочу получить справку о перемещениях и контактах лошадей за период, чтобы при вспышке болезни за пять минут показать, какие лошади были на ранчо, откуда прибыли и с кем контактировали.</t>
  </si>
  <si>
    <t>3.5</t>
  </si>
  <si>
    <t>4</t>
  </si>
  <si>
    <t>Т-04; А-7</t>
  </si>
  <si>
    <t>OW-13</t>
  </si>
  <si>
    <t>Проверить пару лошадей</t>
  </si>
  <si>
    <t>Как сотрудник ранчо, я хочу проверить пару лошадей на допустимость, чтобы не случить тех, кого нельзя.</t>
  </si>
  <si>
    <t>4.2</t>
  </si>
  <si>
    <t>Итерация 4</t>
  </si>
  <si>
    <t>Т-07</t>
  </si>
  <si>
    <t>Критерий 7: все пять недопустимых пар блокируются, три допустимые проходят</t>
  </si>
  <si>
    <t>OW-14</t>
  </si>
  <si>
    <t>Причина запрета пары</t>
  </si>
  <si>
    <t>Как сотрудник ранчо, я хочу видеть причину запрета (родство, занятость жеребца, неготовность кобылы), чтобы понимать, почему пара недопустима.</t>
  </si>
  <si>
    <t>CL-01</t>
  </si>
  <si>
    <t>Подать заявку на случку</t>
  </si>
  <si>
    <t>Как клиент, я хочу подать заявку на случку кобылы через систему, чтобы не звонить на ранчо.</t>
  </si>
  <si>
    <t>5.1</t>
  </si>
  <si>
    <t>8</t>
  </si>
  <si>
    <t>Т-09</t>
  </si>
  <si>
    <t>CL-02</t>
  </si>
  <si>
    <t>Указать кобылу, жеребца и период</t>
  </si>
  <si>
    <t>Как клиент, я хочу указать в заявке кобылу, жеребца и желаемый период, чтобы ранчо могло сразу проверить пару и назначить дату.</t>
  </si>
  <si>
    <t>OW-16</t>
  </si>
  <si>
    <t>Входящие заявки клиентов</t>
  </si>
  <si>
    <t>Как сотрудник ранчо, я хочу видеть входящие заявки клиентов и их статусы, чтобы ни одна заявка не потерялась.</t>
  </si>
  <si>
    <t>OW-17</t>
  </si>
  <si>
    <t>Принять или отклонить заявку</t>
  </si>
  <si>
    <t>Как сотрудник ранчо, я хочу принять или отклонить заявку после проверки пары, чтобы клиент получил ответ с причиной.</t>
  </si>
  <si>
    <t>Т-09; Т-07</t>
  </si>
  <si>
    <t>CL-05</t>
  </si>
  <si>
    <t>Видеть статус заявки</t>
  </si>
  <si>
    <t>Как клиент, я хочу видеть статус своей заявки, чтобы не уточнять его по телефону.</t>
  </si>
  <si>
    <t>CL-06</t>
  </si>
  <si>
    <t>Видеть историю заявок</t>
  </si>
  <si>
    <t>Как клиент, я хочу видеть историю своих заявок, чтобы знать, что и когда я заказывал.</t>
  </si>
  <si>
    <t>W-6.4</t>
  </si>
  <si>
    <t>Документация и приёмочные материалы</t>
  </si>
  <si>
    <t>Краткое руководство пользователя, приёмочные материалы, актуализация проектных документов.</t>
  </si>
  <si>
    <t>6.4</t>
  </si>
  <si>
    <t>15</t>
  </si>
  <si>
    <t>W-6.2</t>
  </si>
  <si>
    <t>Тестирование и исправление дефектов</t>
  </si>
  <si>
    <t>Тестовые сценарии, проверка модулей каждой итерации по чек-листу, сквозной сценарий, исправления.</t>
  </si>
  <si>
    <t>6.2</t>
  </si>
  <si>
    <t>Сквозная работа</t>
  </si>
  <si>
    <t>11, 14</t>
  </si>
  <si>
    <t>Идёт параллельно с началом работ по 3.1</t>
  </si>
  <si>
    <t>W-6.3</t>
  </si>
  <si>
    <t>Демонстрации и приёмка</t>
  </si>
  <si>
    <t>Подготовка и проведение демонстраций В1–В4, фиксация замечаний в GitHub Issues, финальная приёмка.</t>
  </si>
  <si>
    <t>6.3</t>
  </si>
  <si>
    <t>все</t>
  </si>
  <si>
    <t>Демонстрации 14.11, 28.11, 12.12, 26.12</t>
  </si>
  <si>
    <t>W-2.1</t>
  </si>
  <si>
    <t>Сбор и анализ требований (остаток)</t>
  </si>
  <si>
    <t>Уточнение требований и допущений по итогам демонстраций, подтверждение допущений с заказчиком.</t>
  </si>
  <si>
    <t>2.1</t>
  </si>
  <si>
    <t>W-1.3</t>
  </si>
  <si>
    <t>Мониторинг и контроль</t>
  </si>
  <si>
    <t>Еженедельная синхронизация, учёт часов, освоенный объём, реестр рисков, журнал изменений, отчёт по итерации.</t>
  </si>
  <si>
    <t>1.3</t>
  </si>
  <si>
    <t>W-1.4</t>
  </si>
  <si>
    <t>Закрытие проекта</t>
  </si>
  <si>
    <t>Итоговый отчёт, архив документов, сравнение с уставом.</t>
  </si>
  <si>
    <t>1.4</t>
  </si>
  <si>
    <t>28–31.12.2026, после В4</t>
  </si>
  <si>
    <t>OW-18</t>
  </si>
  <si>
    <t>Очередь на каждого жеребца</t>
  </si>
  <si>
    <t>Как сотрудник ранчо, я хочу видеть очередь на каждого жеребца (случка и заказ семени), чтобы знать, кто следующий.</t>
  </si>
  <si>
    <t>4.3</t>
  </si>
  <si>
    <t>Вне базового плана</t>
  </si>
  <si>
    <t>9</t>
  </si>
  <si>
    <t>Т-08; А-13</t>
  </si>
  <si>
    <t>OW-19</t>
  </si>
  <si>
    <t>Календарь занятости жеребцов</t>
  </si>
  <si>
    <t>Как сотрудник ранчо, я хочу видеть календарь занятости жеребцов, чтобы не назначать двух кобыл на одно время.</t>
  </si>
  <si>
    <t>Т-08</t>
  </si>
  <si>
    <t>CL-03</t>
  </si>
  <si>
    <t>Заказать семя с доставкой</t>
  </si>
  <si>
    <t>Как удалённый клиент, я хочу заказать семя жеребца с доставкой, чтобы не везти кобылу в Техас.</t>
  </si>
  <si>
    <t>5.2</t>
  </si>
  <si>
    <t>Т-09; А-13</t>
  </si>
  <si>
    <t>CL-04</t>
  </si>
  <si>
    <t>Адрес и статус доставки семени</t>
  </si>
  <si>
    <t>Как удалённый клиент, я хочу указать адрес доставки и видеть её статус, чтобы знать, когда ждать семя.</t>
  </si>
  <si>
    <t>Т-09; А-4</t>
  </si>
  <si>
    <t>FN-01</t>
  </si>
  <si>
    <t>Сотрудник ранчо, Финансы (Тэмми)</t>
  </si>
  <si>
    <t>Счёт по факту случки</t>
  </si>
  <si>
    <t>Как сотрудник ранчо (финансы), я хочу выставить клиенту счёт по факту случки одним действием, чтобы ни одна случка не осталась без счёта.</t>
  </si>
  <si>
    <t>5.3</t>
  </si>
  <si>
    <t>10</t>
  </si>
  <si>
    <t>Т-10</t>
  </si>
  <si>
    <t>FN-02</t>
  </si>
  <si>
    <t>Счёт за период</t>
  </si>
  <si>
    <t>Как сотрудник ранчо (финансы), я хочу выставить клиенту счёт за период одним действием, чтобы выставлять конюшням общий счёт.</t>
  </si>
  <si>
    <t>FN-05</t>
  </si>
  <si>
    <t>Случки без выставленного счёта</t>
  </si>
  <si>
    <t>Как сотрудник ранчо (финансы), я хочу видеть случки и заказы семени, по которым счёт ещё не выставлен, чтобы не терять деньги.</t>
  </si>
  <si>
    <t>FN-03</t>
  </si>
  <si>
    <t>Статусы счетов</t>
  </si>
  <si>
    <t>Как сотрудник ранчо (финансы), я хочу видеть статусы счетов, чтобы понимать, кто ещё не заплатил.</t>
  </si>
  <si>
    <t>FN-04</t>
  </si>
  <si>
    <t>Принять платёж (заглушка)</t>
  </si>
  <si>
    <t>Как сотрудник ранчо (финансы), я хочу отметить поступление платежа по счёту, чтобы статус счёта был актуальным.</t>
  </si>
  <si>
    <t>Т-10; А-1</t>
  </si>
  <si>
    <t>CL-08</t>
  </si>
  <si>
    <t>Видеть счета и статус оплаты</t>
  </si>
  <si>
    <t>Как клиент, я хочу видеть выставленные мне счета и статус оплаты, чтобы понимать, за что и сколько я должен.</t>
  </si>
  <si>
    <t>CL-09</t>
  </si>
  <si>
    <t>Оплатить счёт (заглушка)</t>
  </si>
  <si>
    <t>Как клиент, я хочу оплатить счёт в системе, чтобы не отправлять деньги отдельно.</t>
  </si>
  <si>
    <t>FN-06</t>
  </si>
  <si>
    <t>Финансовая сводка</t>
  </si>
  <si>
    <t>Как сотрудник ранчо (финансы), я хочу видеть финансовую сводку, чтобы понимать общую картину по выручке и долгам.</t>
  </si>
  <si>
    <t>5.4</t>
  </si>
  <si>
    <t>16</t>
  </si>
  <si>
    <t>Т-11</t>
  </si>
  <si>
    <t>OW-20</t>
  </si>
  <si>
    <t>Отчёт о загрузке жеребцов</t>
  </si>
  <si>
    <t>Как сотрудник ранчо, я хочу видеть отчёт о загрузке жеребцов, чтобы решать, сколько кобыл принимать.</t>
  </si>
  <si>
    <t>OW-21</t>
  </si>
  <si>
    <t>Напоминание «проверь запас»</t>
  </si>
  <si>
    <t>Как сотрудник ранчо, я хочу получать напоминание «проверь запас» (азот, ёмкости, корм, подстилка), чтобы доставка семени не останавливалась из-за перебоев.</t>
  </si>
  <si>
    <t>Т-12</t>
  </si>
  <si>
    <t>Обозначения: жёлтый столбец «Оценка, SP» заполняется на покере; серый текст — позиции вне базового плана (вариант Б, запрос на изменение № 1); на покере и в планах итераций они не участвуют.</t>
  </si>
  <si>
    <t>План итераций</t>
  </si>
  <si>
    <t>Даты вех — по уставу (п. 3.1). Результат каждой итерации сформулирован как то, что показывается заказчику на демонстрации. Счётчики и часы считаются по листу «Бэклог продукта».</t>
  </si>
  <si>
    <t>Период</t>
  </si>
  <si>
    <t>Результат для показа заказчику</t>
  </si>
  <si>
    <t>Критерии приёмки (п. 2.4)</t>
  </si>
  <si>
    <t>Позиций</t>
  </si>
  <si>
    <t>из них историй</t>
  </si>
  <si>
    <t>Остаток трудоёмкости, ч</t>
  </si>
  <si>
    <t>Что не входит</t>
  </si>
  <si>
    <t>19.10–31.10.2026</t>
  </si>
  <si>
    <t>Фаза 4, 31.10.2026</t>
  </si>
  <si>
    <t>Готовы story map, бэклог продукта и план итерации 1; развёрнуты репозиторий, трекер, Figma и каркас приложения на демонстрационном стенде; описаны архитектура и модель данных; готов дизайн экранов; работает вход с выбором роли.</t>
  </si>
  <si>
    <t>—</t>
  </si>
  <si>
    <t>Демонстрация заказчику не проводится</t>
  </si>
  <si>
    <t>02.11–14.11.2026</t>
  </si>
  <si>
    <t>В1, 14.11.2026</t>
  </si>
  <si>
    <t>Реестр лошадей трёх категорий с карточкой и родословной на демонстрационных данных (не менее 15 лошадей), добавление лошади; согласованный образец стиля; утверждена таблица правил совместимости.</t>
  </si>
  <si>
    <t>1, 12, 14 (часть)</t>
  </si>
  <si>
    <t>Размещение и перемещения (перенесены на итерацию 2)</t>
  </si>
  <si>
    <t>16.11–28.11.2026</t>
  </si>
  <si>
    <t>В2, 28.11.2026</t>
  </si>
  <si>
    <t>Размещение и перемещения лошадей (не менее 25 записей, 4 мест, 5 мест происхождения); простая форма записей о готовности кобылы, травмах и состоянии; комплект заглушек пяти внешних сервисов.</t>
  </si>
  <si>
    <t>2, 6, 13</t>
  </si>
  <si>
    <t>Справки (перенесены на итерацию 3)</t>
  </si>
  <si>
    <t>30.11–12.12.2026</t>
  </si>
  <si>
    <t>В3, 12.12.2026</t>
  </si>
  <si>
    <t>Справки «История жеребца» и «Перемещения и контакты»: каждая не более чем за три перехода и за пять минут; выгрузка справок заглушкой.</t>
  </si>
  <si>
    <t>3, 4, 5</t>
  </si>
  <si>
    <t>Проверка совместимости и кабинет клиента (итерация 4)</t>
  </si>
  <si>
    <t>14.12–26.12.2026</t>
  </si>
  <si>
    <t>В4, 26.12.2026</t>
  </si>
  <si>
    <t>Проверка совместимости пар с причиной запрета; кабинет клиента: заявка, статус и история; приём или отклонение заявки; сквозной сценарий двух ролей (заявка, проверка совместимости, реестр); руководство пользователя; финальная приёмка по чек-листу.</t>
  </si>
  <si>
    <t>7, 8 (уточнён), 11 (уточнён), 15</t>
  </si>
  <si>
    <t>Очередь, календарь, заказ семени, счета, отчёты (исключены)</t>
  </si>
  <si>
    <t>весь проект</t>
  </si>
  <si>
    <t>каждая итерация</t>
  </si>
  <si>
    <t>Мониторинг и контроль, тестирование, подготовка демонстраций, уточнение требований, закрытие проекта (28–31.12).</t>
  </si>
  <si>
    <t>11, 14, 15</t>
  </si>
  <si>
    <t>14 историй из пакетов 4.3, 5.2, 5.3 и 5.4 (очередь и календарь, заказ семени, счета и платежи, отчёты). Возврат в план возможен только по запросу на изменение.</t>
  </si>
  <si>
    <t>9, 10, 16 сняты</t>
  </si>
  <si>
    <t>Итого</t>
  </si>
  <si>
    <t>Проверка: позиций в бэклоге</t>
  </si>
  <si>
    <t>Проверка: остаток по расписанию v1.0, ч</t>
  </si>
  <si>
    <t>Справочник пакетов ИСР для бэклога</t>
  </si>
  <si>
    <t>Остаток трудоёмкости взят из расписания v1.0 (лист «Ресурсы», работы с 19.10.2026); у исключённых пакетов 0. Предшественники и приоритеты — из сводной таблицы оценок. Синим выделены исходные данные.</t>
  </si>
  <si>
    <t>№</t>
  </si>
  <si>
    <t>Пакет работ</t>
  </si>
  <si>
    <t>Приоритет</t>
  </si>
  <si>
    <t>Предшественники</t>
  </si>
  <si>
    <t>Вариант Б</t>
  </si>
  <si>
    <t>Позиций в бэклоге</t>
  </si>
  <si>
    <t>в плане</t>
  </si>
  <si>
    <t>Планирование проекта</t>
  </si>
  <si>
    <t>1.3, 6.3</t>
  </si>
  <si>
    <t>Сбор и анализ требований</t>
  </si>
  <si>
    <t>Проектирование пользовательского интерфейса</t>
  </si>
  <si>
    <t>2.1, 2.2</t>
  </si>
  <si>
    <t>Подготовка демонстрационных данных</t>
  </si>
  <si>
    <t>2.2, 2.4</t>
  </si>
  <si>
    <t>Реестр лошадей и карточка лошади</t>
  </si>
  <si>
    <t>2.2, 2.3, 2.4, 2.5</t>
  </si>
  <si>
    <t>Размещение и перемещения</t>
  </si>
  <si>
    <t>Ввод записей о состоянии и происшествиях</t>
  </si>
  <si>
    <t>3.1, 2.3</t>
  </si>
  <si>
    <t>3.1, 3.3, 2.5</t>
  </si>
  <si>
    <t>3.2, 3.3, 2.5</t>
  </si>
  <si>
    <t>Формализация правил совместимости</t>
  </si>
  <si>
    <t>Проверка совместимости пар</t>
  </si>
  <si>
    <t>4.1, 3.1, 2.2</t>
  </si>
  <si>
    <t>Очередь и календарь жеребцов</t>
  </si>
  <si>
    <t>3.1, 2.2, 2.3</t>
  </si>
  <si>
    <t>исключён</t>
  </si>
  <si>
    <t>Кабинет клиента и заявки</t>
  </si>
  <si>
    <t>2.2, 2.3, 3.1</t>
  </si>
  <si>
    <t>Заказ семени с доставкой</t>
  </si>
  <si>
    <t>5.1, 4.3</t>
  </si>
  <si>
    <t>Счета и платежи</t>
  </si>
  <si>
    <t>5.1, 4.3, 3.1</t>
  </si>
  <si>
    <t>Отчёты и напоминания (Could)</t>
  </si>
  <si>
    <t>3.1, 4.3, 5.3</t>
  </si>
  <si>
    <t>Интеграция внешних сервисов (заглушки)</t>
  </si>
  <si>
    <t>Must/Should</t>
  </si>
  <si>
    <t>3.1–5.3 по итерациям</t>
  </si>
  <si>
    <t>6.2 по итерациям</t>
  </si>
  <si>
    <t>Бэклог продукта: пояснения</t>
  </si>
  <si>
    <t>1. Из чего состоит бэклог</t>
  </si>
  <si>
    <t>51 позиция: 41 история с карты историй (в том числе 5 обеспечивающих) и 10 работ из ИСР, которые не создают функций для пользователя (1.1–1.4, 2.1, 2.2, 2.4, 6.2–6.4). Благодаря этому в бэклоге присутствуют все 25 пакетов ИСР, а освоенный объём считается по одной схеме.</t>
  </si>
  <si>
    <t>2. Как расставлены приоритеты и порядок</t>
  </si>
  <si>
    <t>Приоритет MoSCoW берётся из устава и сводной таблицы оценок. Порядок строк определяют итерация по базовому плану, затем приоритет, затем зависимости. Таблица правил совместимости (OW-15) стоит первой в итерации 1: её даёт заказчик, срок 14.11.2026 (А-9, риск Р2).</t>
  </si>
  <si>
    <t>3. Как нарезаны итерации</t>
  </si>
  <si>
    <t>Базовым планом считается расписание v1.0 (вариант Б): пересчёт не делался, заказчик утверждает план как есть. Пакеты 4.3, 5.2, 5.3 и 5.4 исключены, их 14 историй оставлены внизу бэклога со статусом «Вне базового плана». Критерии приёмки 9, 10 и 16 сняты, критерии 8 и 11 уточнены (без заказа семени и счетов).</t>
  </si>
  <si>
    <t>Часы в бэклоге — ориентир: остаток трудоёмкости пакета по расписанию, поделённый поровну между позициями этого пакета. После покера планирования веса заменяются долями по story points, и освоенный объём считается уже по ним.</t>
  </si>
  <si>
    <t>4. На что обратить внимание</t>
  </si>
  <si>
    <t>а) Все три истории пакета 6.1 стоят в итерации 2, потому что расписание завершает этот пакет к В2. Кнопка выгрузки справок (OW-12) подключается к самим справкам в итерации 3.</t>
  </si>
  <si>
    <t>б) В итерации 4 собраны проверка совместимости, кабинет клиента, руководство и финальная приёмка. Это самая нагруженная итерация, поэтому при отставании раньше всего пострадают истории Should пакета 5.1 (OW-16, OW-17, CL-05, CL-06), но не Must пакета 4.2.</t>
  </si>
  <si>
    <t>в) Пять историй (CL-02, OW-03, OW-16, OW-17, FN-05) выведены командой, их нужно подтвердить с заказчиком. FN-05 в плане не участвует.</t>
  </si>
  <si>
    <t>г) Статусы указаны по умолчанию («К выполнению»); фактическое состояние работ нулевого спринта нужно обновить в трекере.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</si>
</sst>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808080"/>
      <name val="Arial"/>
      <charset val="1"/>
    </font>
    <font>
      <i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FFE680"/>
        <bgColor rgb="FFFFFF99"/>
      </patternFill>
    </fill>
    <fill>
      <patternFill patternType="solid">
        <fgColor rgb="FFFFFF99"/>
        <bgColor rgb="FFFFFFCC"/>
      </patternFill>
    </fill>
    <fill>
      <patternFill patternType="solid">
        <fgColor rgb="FFBFE3C0"/>
        <bgColor rgb="FFE0E0E0"/>
      </patternFill>
    </fill>
    <fill>
      <patternFill patternType="solid">
        <fgColor rgb="FFE0E0E0"/>
        <bgColor rgb="FFBFE3C0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7" fillId="0" borderId="1" xfId="0" applyNumberFormat="1" applyFont="1" applyBorder="1" applyAlignment="1">
      <alignment vertical="top" wrapText="1"/>
    </xf>
    <xf numFmtId="2" fontId="6" fillId="0" borderId="0" xfId="0" applyNumberFormat="1" applyFont="1"/>
    <xf numFmtId="0" fontId="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C0"/>
      <rgbColor rgb="FFFFFF99"/>
      <rgbColor rgb="FF99CCFF"/>
      <rgbColor rgb="FFFF99CC"/>
      <rgbColor rgb="FFCC99FF"/>
      <rgbColor rgb="FFFFE680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>
      <pane xSplit="5" ySplit="4" topLeftCell="J17" activePane="bottomRight" state="frozen"/>
      <selection pane="topRight" activeCell="F1" sqref="F1"/>
      <selection pane="bottomLeft" activeCell="A5" sqref="A5"/>
      <selection pane="bottomRight" activeCell="N16" sqref="N16"/>
    </sheetView>
  </sheetViews>
  <sheetFormatPr defaultColWidth="8.6640625" defaultRowHeight="14.4"/>
  <cols>
    <col min="1" max="1" width="6" customWidth="1"/>
    <col min="2" max="2" width="8" customWidth="1"/>
    <col min="3" max="3" width="14" customWidth="1"/>
    <col min="4" max="4" width="18" customWidth="1"/>
    <col min="5" max="5" width="28" customWidth="1"/>
    <col min="6" max="6" width="58" customWidth="1"/>
    <col min="7" max="8" width="10" customWidth="1"/>
    <col min="9" max="11" width="16" customWidth="1"/>
    <col min="12" max="13" width="11" customWidth="1"/>
    <col min="14" max="14" width="9" customWidth="1"/>
    <col min="15" max="16" width="14" customWidth="1"/>
    <col min="17" max="17" width="40" customWidth="1"/>
  </cols>
  <sheetData>
    <row r="1" spans="1:17" ht="17.399999999999999">
      <c r="A1" s="2" t="s">
        <v>0</v>
      </c>
    </row>
    <row r="2" spans="1:17" ht="27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1:17" ht="39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51.75" customHeight="1">
      <c r="A5" s="4">
        <v>1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5" t="s">
        <v>24</v>
      </c>
      <c r="H5" s="4" t="s">
        <v>25</v>
      </c>
      <c r="I5" s="4" t="str">
        <f>IFERROR(INDEX('Пакеты ИСР'!$E$5:$E$29,MATCH($H5,'Пакеты ИСР'!$A$5:$A$29,0)),"")</f>
        <v>—</v>
      </c>
      <c r="J5" s="4" t="s">
        <v>26</v>
      </c>
      <c r="K5" s="4" t="str">
        <f>IFERROR(INDEX('План итераций'!$C$5:$C$11,MATCH($J5,'План итераций'!$A$5:$A$11,0)),"")</f>
        <v>Фаза 4, 31.10.2026</v>
      </c>
      <c r="L5" s="4"/>
      <c r="M5" s="6">
        <f>IFERROR(INDEX('Пакеты ИСР'!$D$5:$D$29,MATCH($H5,'Пакеты ИСР'!$A$5:$A$29,0))/COUNTIF($H$5:$H$55,$H5),0)</f>
        <v>0</v>
      </c>
      <c r="N5" s="7"/>
      <c r="O5" s="4" t="s">
        <v>27</v>
      </c>
      <c r="P5" s="4"/>
      <c r="Q5" s="4" t="s">
        <v>28</v>
      </c>
    </row>
    <row r="6" spans="1:17" ht="51.75" customHeight="1">
      <c r="A6" s="4">
        <v>2</v>
      </c>
      <c r="B6" s="4" t="s">
        <v>29</v>
      </c>
      <c r="C6" s="4" t="s">
        <v>20</v>
      </c>
      <c r="D6" s="4" t="s">
        <v>21</v>
      </c>
      <c r="E6" s="4" t="s">
        <v>30</v>
      </c>
      <c r="F6" s="4" t="s">
        <v>31</v>
      </c>
      <c r="G6" s="5" t="s">
        <v>24</v>
      </c>
      <c r="H6" s="4" t="s">
        <v>32</v>
      </c>
      <c r="I6" s="4" t="str">
        <f>IFERROR(INDEX('Пакеты ИСР'!$E$5:$E$29,MATCH($H6,'Пакеты ИСР'!$A$5:$A$29,0)),"")</f>
        <v>2.1</v>
      </c>
      <c r="J6" s="4" t="s">
        <v>26</v>
      </c>
      <c r="K6" s="4" t="str">
        <f>IFERROR(INDEX('План итераций'!$C$5:$C$11,MATCH($J6,'План итераций'!$A$5:$A$11,0)),"")</f>
        <v>Фаза 4, 31.10.2026</v>
      </c>
      <c r="L6" s="4"/>
      <c r="M6" s="6">
        <f>IFERROR(INDEX('Пакеты ИСР'!$D$5:$D$29,MATCH($H6,'Пакеты ИСР'!$A$5:$A$29,0))/COUNTIF($H$5:$H$55,$H6),0)</f>
        <v>31</v>
      </c>
      <c r="N6" s="7"/>
      <c r="O6" s="4" t="s">
        <v>33</v>
      </c>
      <c r="P6" s="4"/>
      <c r="Q6" s="4"/>
    </row>
    <row r="7" spans="1:17" ht="51.75" customHeight="1">
      <c r="A7" s="4">
        <v>3</v>
      </c>
      <c r="B7" s="4" t="s">
        <v>34</v>
      </c>
      <c r="C7" s="4" t="s">
        <v>20</v>
      </c>
      <c r="D7" s="4" t="s">
        <v>21</v>
      </c>
      <c r="E7" s="4" t="s">
        <v>35</v>
      </c>
      <c r="F7" s="4" t="s">
        <v>36</v>
      </c>
      <c r="G7" s="5" t="s">
        <v>24</v>
      </c>
      <c r="H7" s="4" t="s">
        <v>37</v>
      </c>
      <c r="I7" s="4" t="str">
        <f>IFERROR(INDEX('Пакеты ИСР'!$E$5:$E$29,MATCH($H7,'Пакеты ИСР'!$A$5:$A$29,0)),"")</f>
        <v>1.2</v>
      </c>
      <c r="J7" s="4" t="s">
        <v>26</v>
      </c>
      <c r="K7" s="4" t="str">
        <f>IFERROR(INDEX('План итераций'!$C$5:$C$11,MATCH($J7,'План итераций'!$A$5:$A$11,0)),"")</f>
        <v>Фаза 4, 31.10.2026</v>
      </c>
      <c r="L7" s="4"/>
      <c r="M7" s="6">
        <f>IFERROR(INDEX('Пакеты ИСР'!$D$5:$D$29,MATCH($H7,'Пакеты ИСР'!$A$5:$A$29,0))/COUNTIF($H$5:$H$55,$H7),0)</f>
        <v>8.3350000000000009</v>
      </c>
      <c r="N7" s="7"/>
      <c r="O7" s="4" t="s">
        <v>33</v>
      </c>
      <c r="P7" s="4"/>
      <c r="Q7" s="4"/>
    </row>
    <row r="8" spans="1:17" ht="51.75" customHeight="1">
      <c r="A8" s="4">
        <v>4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5" t="s">
        <v>24</v>
      </c>
      <c r="H8" s="4" t="s">
        <v>37</v>
      </c>
      <c r="I8" s="4" t="str">
        <f>IFERROR(INDEX('Пакеты ИСР'!$E$5:$E$29,MATCH($H8,'Пакеты ИСР'!$A$5:$A$29,0)),"")</f>
        <v>1.2</v>
      </c>
      <c r="J8" s="4" t="s">
        <v>26</v>
      </c>
      <c r="K8" s="4" t="str">
        <f>IFERROR(INDEX('План итераций'!$C$5:$C$11,MATCH($J8,'План итераций'!$A$5:$A$11,0)),"")</f>
        <v>Фаза 4, 31.10.2026</v>
      </c>
      <c r="L8" s="4" t="s">
        <v>43</v>
      </c>
      <c r="M8" s="6">
        <f>IFERROR(INDEX('Пакеты ИСР'!$D$5:$D$29,MATCH($H8,'Пакеты ИСР'!$A$5:$A$29,0))/COUNTIF($H$5:$H$55,$H8),0)</f>
        <v>8.3350000000000009</v>
      </c>
      <c r="N8" s="7"/>
      <c r="O8" s="4" t="s">
        <v>33</v>
      </c>
      <c r="P8" s="4" t="s">
        <v>44</v>
      </c>
      <c r="Q8" s="4" t="s">
        <v>45</v>
      </c>
    </row>
    <row r="9" spans="1:17" ht="51.75" customHeight="1">
      <c r="A9" s="4">
        <v>5</v>
      </c>
      <c r="B9" s="4" t="s">
        <v>46</v>
      </c>
      <c r="C9" s="4" t="s">
        <v>39</v>
      </c>
      <c r="D9" s="4" t="s">
        <v>40</v>
      </c>
      <c r="E9" s="4" t="s">
        <v>47</v>
      </c>
      <c r="F9" s="4" t="s">
        <v>48</v>
      </c>
      <c r="G9" s="5" t="s">
        <v>24</v>
      </c>
      <c r="H9" s="4" t="s">
        <v>49</v>
      </c>
      <c r="I9" s="4" t="str">
        <f>IFERROR(INDEX('Пакеты ИСР'!$E$5:$E$29,MATCH($H9,'Пакеты ИСР'!$A$5:$A$29,0)),"")</f>
        <v>2.1, 2.2</v>
      </c>
      <c r="J9" s="4" t="s">
        <v>26</v>
      </c>
      <c r="K9" s="4" t="str">
        <f>IFERROR(INDEX('План итераций'!$C$5:$C$11,MATCH($J9,'План итераций'!$A$5:$A$11,0)),"")</f>
        <v>Фаза 4, 31.10.2026</v>
      </c>
      <c r="L9" s="4" t="s">
        <v>50</v>
      </c>
      <c r="M9" s="6">
        <f>IFERROR(INDEX('Пакеты ИСР'!$D$5:$D$29,MATCH($H9,'Пакеты ИСР'!$A$5:$A$29,0))/COUNTIF($H$5:$H$55,$H9),0)</f>
        <v>17.914999999999999</v>
      </c>
      <c r="N9" s="7"/>
      <c r="O9" s="4" t="s">
        <v>33</v>
      </c>
      <c r="P9" s="4" t="s">
        <v>51</v>
      </c>
      <c r="Q9" s="4"/>
    </row>
    <row r="10" spans="1:17" ht="51.75" customHeight="1">
      <c r="A10" s="4">
        <v>6</v>
      </c>
      <c r="B10" s="4" t="s">
        <v>52</v>
      </c>
      <c r="C10" s="4" t="s">
        <v>39</v>
      </c>
      <c r="D10" s="4" t="s">
        <v>40</v>
      </c>
      <c r="E10" s="4" t="s">
        <v>53</v>
      </c>
      <c r="F10" s="4" t="s">
        <v>54</v>
      </c>
      <c r="G10" s="8" t="s">
        <v>55</v>
      </c>
      <c r="H10" s="4" t="s">
        <v>49</v>
      </c>
      <c r="I10" s="4" t="str">
        <f>IFERROR(INDEX('Пакеты ИСР'!$E$5:$E$29,MATCH($H10,'Пакеты ИСР'!$A$5:$A$29,0)),"")</f>
        <v>2.1, 2.2</v>
      </c>
      <c r="J10" s="4" t="s">
        <v>26</v>
      </c>
      <c r="K10" s="4" t="str">
        <f>IFERROR(INDEX('План итераций'!$C$5:$C$11,MATCH($J10,'План итераций'!$A$5:$A$11,0)),"")</f>
        <v>Фаза 4, 31.10.2026</v>
      </c>
      <c r="L10" s="4"/>
      <c r="M10" s="6">
        <f>IFERROR(INDEX('Пакеты ИСР'!$D$5:$D$29,MATCH($H10,'Пакеты ИСР'!$A$5:$A$29,0))/COUNTIF($H$5:$H$55,$H10),0)</f>
        <v>17.914999999999999</v>
      </c>
      <c r="N10" s="7"/>
      <c r="O10" s="4" t="s">
        <v>33</v>
      </c>
      <c r="P10" s="4" t="s">
        <v>56</v>
      </c>
      <c r="Q10" s="4" t="s">
        <v>57</v>
      </c>
    </row>
    <row r="11" spans="1:17" ht="51.75" customHeight="1">
      <c r="A11" s="4">
        <v>7</v>
      </c>
      <c r="B11" s="4" t="s">
        <v>58</v>
      </c>
      <c r="C11" s="4" t="s">
        <v>20</v>
      </c>
      <c r="D11" s="4" t="s">
        <v>21</v>
      </c>
      <c r="E11" s="4" t="s">
        <v>59</v>
      </c>
      <c r="F11" s="4" t="s">
        <v>60</v>
      </c>
      <c r="G11" s="5" t="s">
        <v>24</v>
      </c>
      <c r="H11" s="4" t="s">
        <v>61</v>
      </c>
      <c r="I11" s="4" t="str">
        <f>IFERROR(INDEX('Пакеты ИСР'!$E$5:$E$29,MATCH($H11,'Пакеты ИСР'!$A$5:$A$29,0)),"")</f>
        <v>1.1</v>
      </c>
      <c r="J11" s="4" t="s">
        <v>26</v>
      </c>
      <c r="K11" s="4" t="str">
        <f>IFERROR(INDEX('План итераций'!$C$5:$C$11,MATCH($J11,'План итераций'!$A$5:$A$11,0)),"")</f>
        <v>Фаза 4, 31.10.2026</v>
      </c>
      <c r="L11" s="4"/>
      <c r="M11" s="6">
        <f>IFERROR(INDEX('Пакеты ИСР'!$D$5:$D$29,MATCH($H11,'Пакеты ИСР'!$A$5:$A$29,0))/COUNTIF($H$5:$H$55,$H11),0)</f>
        <v>13.07</v>
      </c>
      <c r="N11" s="7"/>
      <c r="O11" s="4" t="s">
        <v>33</v>
      </c>
      <c r="P11" s="4"/>
      <c r="Q11" s="4" t="s">
        <v>62</v>
      </c>
    </row>
    <row r="12" spans="1:17" ht="51.75" customHeight="1">
      <c r="A12" s="4">
        <v>8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5" t="s">
        <v>24</v>
      </c>
      <c r="H12" s="4" t="s">
        <v>68</v>
      </c>
      <c r="I12" s="4" t="str">
        <f>IFERROR(INDEX('Пакеты ИСР'!$E$5:$E$29,MATCH($H12,'Пакеты ИСР'!$A$5:$A$29,0)),"")</f>
        <v>2.1</v>
      </c>
      <c r="J12" s="4" t="s">
        <v>69</v>
      </c>
      <c r="K12" s="4" t="str">
        <f>IFERROR(INDEX('План итераций'!$C$5:$C$11,MATCH($J12,'План итераций'!$A$5:$A$11,0)),"")</f>
        <v>В1, 14.11.2026</v>
      </c>
      <c r="L12" s="4" t="s">
        <v>70</v>
      </c>
      <c r="M12" s="6">
        <f>IFERROR(INDEX('Пакеты ИСР'!$D$5:$D$29,MATCH($H12,'Пакеты ИСР'!$A$5:$A$29,0))/COUNTIF($H$5:$H$55,$H12),0)</f>
        <v>14.67</v>
      </c>
      <c r="N12" s="26">
        <v>3</v>
      </c>
      <c r="O12" s="4" t="s">
        <v>33</v>
      </c>
      <c r="P12" s="4" t="s">
        <v>71</v>
      </c>
      <c r="Q12" s="4" t="s">
        <v>72</v>
      </c>
    </row>
    <row r="13" spans="1:17" ht="51.75" customHeight="1">
      <c r="A13" s="4">
        <v>9</v>
      </c>
      <c r="B13" s="4" t="s">
        <v>73</v>
      </c>
      <c r="C13" s="4" t="s">
        <v>64</v>
      </c>
      <c r="D13" s="4" t="s">
        <v>65</v>
      </c>
      <c r="E13" s="4" t="s">
        <v>74</v>
      </c>
      <c r="F13" s="4" t="s">
        <v>75</v>
      </c>
      <c r="G13" s="5" t="s">
        <v>24</v>
      </c>
      <c r="H13" s="4" t="s">
        <v>76</v>
      </c>
      <c r="I13" s="4" t="str">
        <f>IFERROR(INDEX('Пакеты ИСР'!$E$5:$E$29,MATCH($H13,'Пакеты ИСР'!$A$5:$A$29,0)),"")</f>
        <v>2.2, 2.3, 2.4, 2.5</v>
      </c>
      <c r="J13" s="4" t="s">
        <v>69</v>
      </c>
      <c r="K13" s="4" t="str">
        <f>IFERROR(INDEX('План итераций'!$C$5:$C$11,MATCH($J13,'План итераций'!$A$5:$A$11,0)),"")</f>
        <v>В1, 14.11.2026</v>
      </c>
      <c r="L13" s="4" t="s">
        <v>77</v>
      </c>
      <c r="M13" s="6">
        <f>IFERROR(INDEX('Пакеты ИСР'!$D$5:$D$29,MATCH($H13,'Пакеты ИСР'!$A$5:$A$29,0))/COUNTIF($H$5:$H$55,$H13),0)</f>
        <v>15.443333333333333</v>
      </c>
      <c r="N13" s="7">
        <v>5</v>
      </c>
      <c r="O13" s="4" t="s">
        <v>33</v>
      </c>
      <c r="P13" s="4" t="s">
        <v>78</v>
      </c>
      <c r="Q13" s="4"/>
    </row>
    <row r="14" spans="1:17" ht="51.75" customHeight="1">
      <c r="A14" s="4">
        <v>10</v>
      </c>
      <c r="B14" s="4" t="s">
        <v>79</v>
      </c>
      <c r="C14" s="4" t="s">
        <v>64</v>
      </c>
      <c r="D14" s="4" t="s">
        <v>65</v>
      </c>
      <c r="E14" s="4" t="s">
        <v>80</v>
      </c>
      <c r="F14" s="4" t="s">
        <v>81</v>
      </c>
      <c r="G14" s="5" t="s">
        <v>24</v>
      </c>
      <c r="H14" s="4" t="s">
        <v>76</v>
      </c>
      <c r="I14" s="4" t="str">
        <f>IFERROR(INDEX('Пакеты ИСР'!$E$5:$E$29,MATCH($H14,'Пакеты ИСР'!$A$5:$A$29,0)),"")</f>
        <v>2.2, 2.3, 2.4, 2.5</v>
      </c>
      <c r="J14" s="4" t="s">
        <v>69</v>
      </c>
      <c r="K14" s="4" t="str">
        <f>IFERROR(INDEX('План итераций'!$C$5:$C$11,MATCH($J14,'План итераций'!$A$5:$A$11,0)),"")</f>
        <v>В1, 14.11.2026</v>
      </c>
      <c r="L14" s="4" t="s">
        <v>77</v>
      </c>
      <c r="M14" s="6">
        <f>IFERROR(INDEX('Пакеты ИСР'!$D$5:$D$29,MATCH($H14,'Пакеты ИСР'!$A$5:$A$29,0))/COUNTIF($H$5:$H$55,$H14),0)</f>
        <v>15.443333333333333</v>
      </c>
      <c r="N14" s="7">
        <v>8</v>
      </c>
      <c r="O14" s="4" t="s">
        <v>33</v>
      </c>
      <c r="P14" s="4" t="s">
        <v>78</v>
      </c>
      <c r="Q14" s="4"/>
    </row>
    <row r="15" spans="1:17" ht="51.75" customHeight="1">
      <c r="A15" s="4">
        <v>11</v>
      </c>
      <c r="B15" s="4" t="s">
        <v>82</v>
      </c>
      <c r="C15" s="4" t="s">
        <v>64</v>
      </c>
      <c r="D15" s="4" t="s">
        <v>65</v>
      </c>
      <c r="E15" s="4" t="s">
        <v>83</v>
      </c>
      <c r="F15" s="4" t="s">
        <v>84</v>
      </c>
      <c r="G15" s="5" t="s">
        <v>24</v>
      </c>
      <c r="H15" s="4" t="s">
        <v>76</v>
      </c>
      <c r="I15" s="4" t="str">
        <f>IFERROR(INDEX('Пакеты ИСР'!$E$5:$E$29,MATCH($H15,'Пакеты ИСР'!$A$5:$A$29,0)),"")</f>
        <v>2.2, 2.3, 2.4, 2.5</v>
      </c>
      <c r="J15" s="4" t="s">
        <v>69</v>
      </c>
      <c r="K15" s="4" t="str">
        <f>IFERROR(INDEX('План итераций'!$C$5:$C$11,MATCH($J15,'План итераций'!$A$5:$A$11,0)),"")</f>
        <v>В1, 14.11.2026</v>
      </c>
      <c r="L15" s="4" t="s">
        <v>77</v>
      </c>
      <c r="M15" s="6">
        <f>IFERROR(INDEX('Пакеты ИСР'!$D$5:$D$29,MATCH($H15,'Пакеты ИСР'!$A$5:$A$29,0))/COUNTIF($H$5:$H$55,$H15),0)</f>
        <v>15.443333333333333</v>
      </c>
      <c r="N15" s="7">
        <v>5</v>
      </c>
      <c r="O15" s="4" t="s">
        <v>33</v>
      </c>
      <c r="P15" s="4" t="s">
        <v>78</v>
      </c>
      <c r="Q15" s="4" t="s">
        <v>85</v>
      </c>
    </row>
    <row r="16" spans="1:17" ht="51.75" customHeight="1">
      <c r="A16" s="4">
        <v>12</v>
      </c>
      <c r="B16" s="4" t="s">
        <v>86</v>
      </c>
      <c r="C16" s="4" t="s">
        <v>39</v>
      </c>
      <c r="D16" s="4" t="s">
        <v>40</v>
      </c>
      <c r="E16" s="4" t="s">
        <v>87</v>
      </c>
      <c r="F16" s="4" t="s">
        <v>88</v>
      </c>
      <c r="G16" s="5" t="s">
        <v>24</v>
      </c>
      <c r="H16" s="4" t="s">
        <v>89</v>
      </c>
      <c r="I16" s="4" t="str">
        <f>IFERROR(INDEX('Пакеты ИСР'!$E$5:$E$29,MATCH($H16,'Пакеты ИСР'!$A$5:$A$29,0)),"")</f>
        <v>2.2, 2.4</v>
      </c>
      <c r="J16" s="4" t="s">
        <v>69</v>
      </c>
      <c r="K16" s="4" t="str">
        <f>IFERROR(INDEX('План итераций'!$C$5:$C$11,MATCH($J16,'План итераций'!$A$5:$A$11,0)),"")</f>
        <v>В1, 14.11.2026</v>
      </c>
      <c r="L16" s="4" t="s">
        <v>90</v>
      </c>
      <c r="M16" s="6">
        <f>IFERROR(INDEX('Пакеты ИСР'!$D$5:$D$29,MATCH($H16,'Пакеты ИСР'!$A$5:$A$29,0))/COUNTIF($H$5:$H$55,$H16),0)</f>
        <v>22.67</v>
      </c>
      <c r="N16" s="7">
        <v>5</v>
      </c>
      <c r="O16" s="4" t="s">
        <v>33</v>
      </c>
      <c r="P16" s="4" t="s">
        <v>91</v>
      </c>
      <c r="Q16" s="4"/>
    </row>
    <row r="17" spans="1:17" ht="51.75" customHeight="1">
      <c r="A17" s="4">
        <v>13</v>
      </c>
      <c r="B17" s="4" t="s">
        <v>92</v>
      </c>
      <c r="C17" s="4" t="s">
        <v>64</v>
      </c>
      <c r="D17" s="4" t="s">
        <v>65</v>
      </c>
      <c r="E17" s="4" t="s">
        <v>93</v>
      </c>
      <c r="F17" s="4" t="s">
        <v>94</v>
      </c>
      <c r="G17" s="5" t="s">
        <v>24</v>
      </c>
      <c r="H17" s="4" t="s">
        <v>95</v>
      </c>
      <c r="I17" s="4" t="str">
        <f>IFERROR(INDEX('Пакеты ИСР'!$E$5:$E$29,MATCH($H17,'Пакеты ИСР'!$A$5:$A$29,0)),"")</f>
        <v>3.1</v>
      </c>
      <c r="J17" s="4" t="s">
        <v>96</v>
      </c>
      <c r="K17" s="4" t="str">
        <f>IFERROR(INDEX('План итераций'!$C$5:$C$11,MATCH($J17,'План итераций'!$A$5:$A$11,0)),"")</f>
        <v>В2, 28.11.2026</v>
      </c>
      <c r="L17" s="4" t="s">
        <v>97</v>
      </c>
      <c r="M17" s="6">
        <f>IFERROR(INDEX('Пакеты ИСР'!$D$5:$D$29,MATCH($H17,'Пакеты ИСР'!$A$5:$A$29,0))/COUNTIF($H$5:$H$55,$H17),0)</f>
        <v>10.333333333333334</v>
      </c>
      <c r="N17" s="7"/>
      <c r="O17" s="4" t="s">
        <v>33</v>
      </c>
      <c r="P17" s="4" t="s">
        <v>98</v>
      </c>
      <c r="Q17" s="4"/>
    </row>
    <row r="18" spans="1:17" ht="51.75" customHeight="1">
      <c r="A18" s="4">
        <v>14</v>
      </c>
      <c r="B18" s="4" t="s">
        <v>99</v>
      </c>
      <c r="C18" s="4" t="s">
        <v>64</v>
      </c>
      <c r="D18" s="4" t="s">
        <v>65</v>
      </c>
      <c r="E18" s="4" t="s">
        <v>100</v>
      </c>
      <c r="F18" s="4" t="s">
        <v>101</v>
      </c>
      <c r="G18" s="5" t="s">
        <v>24</v>
      </c>
      <c r="H18" s="4" t="s">
        <v>95</v>
      </c>
      <c r="I18" s="4" t="str">
        <f>IFERROR(INDEX('Пакеты ИСР'!$E$5:$E$29,MATCH($H18,'Пакеты ИСР'!$A$5:$A$29,0)),"")</f>
        <v>3.1</v>
      </c>
      <c r="J18" s="4" t="s">
        <v>96</v>
      </c>
      <c r="K18" s="4" t="str">
        <f>IFERROR(INDEX('План итераций'!$C$5:$C$11,MATCH($J18,'План итераций'!$A$5:$A$11,0)),"")</f>
        <v>В2, 28.11.2026</v>
      </c>
      <c r="L18" s="4" t="s">
        <v>97</v>
      </c>
      <c r="M18" s="6">
        <f>IFERROR(INDEX('Пакеты ИСР'!$D$5:$D$29,MATCH($H18,'Пакеты ИСР'!$A$5:$A$29,0))/COUNTIF($H$5:$H$55,$H18),0)</f>
        <v>10.333333333333334</v>
      </c>
      <c r="N18" s="7"/>
      <c r="O18" s="4" t="s">
        <v>33</v>
      </c>
      <c r="P18" s="4" t="s">
        <v>98</v>
      </c>
      <c r="Q18" s="4"/>
    </row>
    <row r="19" spans="1:17" ht="51.75" customHeight="1">
      <c r="A19" s="4">
        <v>15</v>
      </c>
      <c r="B19" s="4" t="s">
        <v>102</v>
      </c>
      <c r="C19" s="4" t="s">
        <v>64</v>
      </c>
      <c r="D19" s="4" t="s">
        <v>65</v>
      </c>
      <c r="E19" s="4" t="s">
        <v>103</v>
      </c>
      <c r="F19" s="4" t="s">
        <v>104</v>
      </c>
      <c r="G19" s="5" t="s">
        <v>24</v>
      </c>
      <c r="H19" s="4" t="s">
        <v>95</v>
      </c>
      <c r="I19" s="4" t="str">
        <f>IFERROR(INDEX('Пакеты ИСР'!$E$5:$E$29,MATCH($H19,'Пакеты ИСР'!$A$5:$A$29,0)),"")</f>
        <v>3.1</v>
      </c>
      <c r="J19" s="4" t="s">
        <v>96</v>
      </c>
      <c r="K19" s="4" t="str">
        <f>IFERROR(INDEX('План итераций'!$C$5:$C$11,MATCH($J19,'План итераций'!$A$5:$A$11,0)),"")</f>
        <v>В2, 28.11.2026</v>
      </c>
      <c r="L19" s="4" t="s">
        <v>97</v>
      </c>
      <c r="M19" s="6">
        <f>IFERROR(INDEX('Пакеты ИСР'!$D$5:$D$29,MATCH($H19,'Пакеты ИСР'!$A$5:$A$29,0))/COUNTIF($H$5:$H$55,$H19),0)</f>
        <v>10.333333333333334</v>
      </c>
      <c r="N19" s="7"/>
      <c r="O19" s="4" t="s">
        <v>33</v>
      </c>
      <c r="P19" s="4" t="s">
        <v>98</v>
      </c>
      <c r="Q19" s="4"/>
    </row>
    <row r="20" spans="1:17" ht="51.75" customHeight="1">
      <c r="A20" s="4">
        <v>16</v>
      </c>
      <c r="B20" s="4" t="s">
        <v>105</v>
      </c>
      <c r="C20" s="4" t="s">
        <v>64</v>
      </c>
      <c r="D20" s="4" t="s">
        <v>65</v>
      </c>
      <c r="E20" s="4" t="s">
        <v>106</v>
      </c>
      <c r="F20" s="4" t="s">
        <v>107</v>
      </c>
      <c r="G20" s="5" t="s">
        <v>24</v>
      </c>
      <c r="H20" s="4" t="s">
        <v>108</v>
      </c>
      <c r="I20" s="4" t="str">
        <f>IFERROR(INDEX('Пакеты ИСР'!$E$5:$E$29,MATCH($H20,'Пакеты ИСР'!$A$5:$A$29,0)),"")</f>
        <v>3.1, 2.3</v>
      </c>
      <c r="J20" s="4" t="s">
        <v>96</v>
      </c>
      <c r="K20" s="4" t="str">
        <f>IFERROR(INDEX('План итераций'!$C$5:$C$11,MATCH($J20,'План итераций'!$A$5:$A$11,0)),"")</f>
        <v>В2, 28.11.2026</v>
      </c>
      <c r="L20" s="4" t="s">
        <v>109</v>
      </c>
      <c r="M20" s="6">
        <f>IFERROR(INDEX('Пакеты ИСР'!$D$5:$D$29,MATCH($H20,'Пакеты ИСР'!$A$5:$A$29,0))/COUNTIF($H$5:$H$55,$H20),0)</f>
        <v>6.8900000000000006</v>
      </c>
      <c r="N20" s="7"/>
      <c r="O20" s="4" t="s">
        <v>33</v>
      </c>
      <c r="P20" s="4" t="s">
        <v>110</v>
      </c>
      <c r="Q20" s="4"/>
    </row>
    <row r="21" spans="1:17" ht="51.75" customHeight="1">
      <c r="A21" s="4">
        <v>17</v>
      </c>
      <c r="B21" s="4" t="s">
        <v>111</v>
      </c>
      <c r="C21" s="4" t="s">
        <v>64</v>
      </c>
      <c r="D21" s="4" t="s">
        <v>65</v>
      </c>
      <c r="E21" s="4" t="s">
        <v>112</v>
      </c>
      <c r="F21" s="4" t="s">
        <v>113</v>
      </c>
      <c r="G21" s="5" t="s">
        <v>24</v>
      </c>
      <c r="H21" s="4" t="s">
        <v>108</v>
      </c>
      <c r="I21" s="4" t="str">
        <f>IFERROR(INDEX('Пакеты ИСР'!$E$5:$E$29,MATCH($H21,'Пакеты ИСР'!$A$5:$A$29,0)),"")</f>
        <v>3.1, 2.3</v>
      </c>
      <c r="J21" s="4" t="s">
        <v>96</v>
      </c>
      <c r="K21" s="4" t="str">
        <f>IFERROR(INDEX('План итераций'!$C$5:$C$11,MATCH($J21,'План итераций'!$A$5:$A$11,0)),"")</f>
        <v>В2, 28.11.2026</v>
      </c>
      <c r="L21" s="4" t="s">
        <v>109</v>
      </c>
      <c r="M21" s="6">
        <f>IFERROR(INDEX('Пакеты ИСР'!$D$5:$D$29,MATCH($H21,'Пакеты ИСР'!$A$5:$A$29,0))/COUNTIF($H$5:$H$55,$H21),0)</f>
        <v>6.8900000000000006</v>
      </c>
      <c r="N21" s="7"/>
      <c r="O21" s="4" t="s">
        <v>33</v>
      </c>
      <c r="P21" s="4" t="s">
        <v>114</v>
      </c>
      <c r="Q21" s="4"/>
    </row>
    <row r="22" spans="1:17" ht="51.75" customHeight="1">
      <c r="A22" s="4">
        <v>18</v>
      </c>
      <c r="B22" s="4" t="s">
        <v>115</v>
      </c>
      <c r="C22" s="4" t="s">
        <v>64</v>
      </c>
      <c r="D22" s="4" t="s">
        <v>65</v>
      </c>
      <c r="E22" s="4" t="s">
        <v>116</v>
      </c>
      <c r="F22" s="4" t="s">
        <v>117</v>
      </c>
      <c r="G22" s="5" t="s">
        <v>24</v>
      </c>
      <c r="H22" s="4" t="s">
        <v>108</v>
      </c>
      <c r="I22" s="4" t="str">
        <f>IFERROR(INDEX('Пакеты ИСР'!$E$5:$E$29,MATCH($H22,'Пакеты ИСР'!$A$5:$A$29,0)),"")</f>
        <v>3.1, 2.3</v>
      </c>
      <c r="J22" s="4" t="s">
        <v>96</v>
      </c>
      <c r="K22" s="4" t="str">
        <f>IFERROR(INDEX('План итераций'!$C$5:$C$11,MATCH($J22,'План итераций'!$A$5:$A$11,0)),"")</f>
        <v>В2, 28.11.2026</v>
      </c>
      <c r="L22" s="4" t="s">
        <v>109</v>
      </c>
      <c r="M22" s="6">
        <f>IFERROR(INDEX('Пакеты ИСР'!$D$5:$D$29,MATCH($H22,'Пакеты ИСР'!$A$5:$A$29,0))/COUNTIF($H$5:$H$55,$H22),0)</f>
        <v>6.8900000000000006</v>
      </c>
      <c r="N22" s="7"/>
      <c r="O22" s="4" t="s">
        <v>33</v>
      </c>
      <c r="P22" s="4" t="s">
        <v>118</v>
      </c>
      <c r="Q22" s="4"/>
    </row>
    <row r="23" spans="1:17" ht="51.75" customHeight="1">
      <c r="A23" s="4">
        <v>19</v>
      </c>
      <c r="B23" s="4" t="s">
        <v>119</v>
      </c>
      <c r="C23" s="4" t="s">
        <v>39</v>
      </c>
      <c r="D23" s="4" t="s">
        <v>40</v>
      </c>
      <c r="E23" s="4" t="s">
        <v>120</v>
      </c>
      <c r="F23" s="4" t="s">
        <v>121</v>
      </c>
      <c r="G23" s="5" t="s">
        <v>24</v>
      </c>
      <c r="H23" s="4" t="s">
        <v>122</v>
      </c>
      <c r="I23" s="4" t="str">
        <f>IFERROR(INDEX('Пакеты ИСР'!$E$5:$E$29,MATCH($H23,'Пакеты ИСР'!$A$5:$A$29,0)),"")</f>
        <v>2.2, 2.4</v>
      </c>
      <c r="J23" s="4" t="s">
        <v>96</v>
      </c>
      <c r="K23" s="4" t="str">
        <f>IFERROR(INDEX('План итераций'!$C$5:$C$11,MATCH($J23,'План итераций'!$A$5:$A$11,0)),"")</f>
        <v>В2, 28.11.2026</v>
      </c>
      <c r="L23" s="4" t="s">
        <v>123</v>
      </c>
      <c r="M23" s="6">
        <f>IFERROR(INDEX('Пакеты ИСР'!$D$5:$D$29,MATCH($H23,'Пакеты ИСР'!$A$5:$A$29,0))/COUNTIF($H$5:$H$55,$H23),0)</f>
        <v>9.61</v>
      </c>
      <c r="N23" s="7"/>
      <c r="O23" s="4" t="s">
        <v>33</v>
      </c>
      <c r="P23" s="4" t="s">
        <v>124</v>
      </c>
      <c r="Q23" s="4"/>
    </row>
    <row r="24" spans="1:17" ht="51.75" customHeight="1">
      <c r="A24" s="4">
        <v>20</v>
      </c>
      <c r="B24" s="4" t="s">
        <v>125</v>
      </c>
      <c r="C24" s="4" t="s">
        <v>64</v>
      </c>
      <c r="D24" s="4" t="s">
        <v>65</v>
      </c>
      <c r="E24" s="4" t="s">
        <v>126</v>
      </c>
      <c r="F24" s="4" t="s">
        <v>127</v>
      </c>
      <c r="G24" s="8" t="s">
        <v>55</v>
      </c>
      <c r="H24" s="4" t="s">
        <v>122</v>
      </c>
      <c r="I24" s="4" t="str">
        <f>IFERROR(INDEX('Пакеты ИСР'!$E$5:$E$29,MATCH($H24,'Пакеты ИСР'!$A$5:$A$29,0)),"")</f>
        <v>2.2, 2.4</v>
      </c>
      <c r="J24" s="4" t="s">
        <v>96</v>
      </c>
      <c r="K24" s="4" t="str">
        <f>IFERROR(INDEX('План итераций'!$C$5:$C$11,MATCH($J24,'План итераций'!$A$5:$A$11,0)),"")</f>
        <v>В2, 28.11.2026</v>
      </c>
      <c r="L24" s="4" t="s">
        <v>128</v>
      </c>
      <c r="M24" s="6">
        <f>IFERROR(INDEX('Пакеты ИСР'!$D$5:$D$29,MATCH($H24,'Пакеты ИСР'!$A$5:$A$29,0))/COUNTIF($H$5:$H$55,$H24),0)</f>
        <v>9.61</v>
      </c>
      <c r="N24" s="7"/>
      <c r="O24" s="4" t="s">
        <v>33</v>
      </c>
      <c r="P24" s="4" t="s">
        <v>129</v>
      </c>
      <c r="Q24" s="4" t="s">
        <v>130</v>
      </c>
    </row>
    <row r="25" spans="1:17" ht="51.75" customHeight="1">
      <c r="A25" s="4">
        <v>21</v>
      </c>
      <c r="B25" s="4" t="s">
        <v>131</v>
      </c>
      <c r="C25" s="4" t="s">
        <v>64</v>
      </c>
      <c r="D25" s="4" t="s">
        <v>132</v>
      </c>
      <c r="E25" s="4" t="s">
        <v>133</v>
      </c>
      <c r="F25" s="4" t="s">
        <v>134</v>
      </c>
      <c r="G25" s="9" t="s">
        <v>135</v>
      </c>
      <c r="H25" s="4" t="s">
        <v>122</v>
      </c>
      <c r="I25" s="4" t="str">
        <f>IFERROR(INDEX('Пакеты ИСР'!$E$5:$E$29,MATCH($H25,'Пакеты ИСР'!$A$5:$A$29,0)),"")</f>
        <v>2.2, 2.4</v>
      </c>
      <c r="J25" s="4" t="s">
        <v>96</v>
      </c>
      <c r="K25" s="4" t="str">
        <f>IFERROR(INDEX('План итераций'!$C$5:$C$11,MATCH($J25,'План итераций'!$A$5:$A$11,0)),"")</f>
        <v>В2, 28.11.2026</v>
      </c>
      <c r="L25" s="4" t="s">
        <v>123</v>
      </c>
      <c r="M25" s="6">
        <f>IFERROR(INDEX('Пакеты ИСР'!$D$5:$D$29,MATCH($H25,'Пакеты ИСР'!$A$5:$A$29,0))/COUNTIF($H$5:$H$55,$H25),0)</f>
        <v>9.61</v>
      </c>
      <c r="N25" s="7"/>
      <c r="O25" s="4" t="s">
        <v>33</v>
      </c>
      <c r="P25" s="4" t="s">
        <v>136</v>
      </c>
      <c r="Q25" s="4" t="s">
        <v>137</v>
      </c>
    </row>
    <row r="26" spans="1:17" ht="51.75" customHeight="1">
      <c r="A26" s="4">
        <v>22</v>
      </c>
      <c r="B26" s="4" t="s">
        <v>138</v>
      </c>
      <c r="C26" s="4" t="s">
        <v>64</v>
      </c>
      <c r="D26" s="4" t="s">
        <v>65</v>
      </c>
      <c r="E26" s="4" t="s">
        <v>139</v>
      </c>
      <c r="F26" s="4" t="s">
        <v>140</v>
      </c>
      <c r="G26" s="5" t="s">
        <v>24</v>
      </c>
      <c r="H26" s="4" t="s">
        <v>141</v>
      </c>
      <c r="I26" s="4" t="str">
        <f>IFERROR(INDEX('Пакеты ИСР'!$E$5:$E$29,MATCH($H26,'Пакеты ИСР'!$A$5:$A$29,0)),"")</f>
        <v>3.1, 3.3, 2.5</v>
      </c>
      <c r="J26" s="4" t="s">
        <v>142</v>
      </c>
      <c r="K26" s="4" t="str">
        <f>IFERROR(INDEX('План итераций'!$C$5:$C$11,MATCH($J26,'План итераций'!$A$5:$A$11,0)),"")</f>
        <v>В3, 12.12.2026</v>
      </c>
      <c r="L26" s="4" t="s">
        <v>143</v>
      </c>
      <c r="M26" s="6">
        <f>IFERROR(INDEX('Пакеты ИСР'!$D$5:$D$29,MATCH($H26,'Пакеты ИСР'!$A$5:$A$29,0))/COUNTIF($H$5:$H$55,$H26),0)</f>
        <v>27</v>
      </c>
      <c r="N26" s="7"/>
      <c r="O26" s="4" t="s">
        <v>33</v>
      </c>
      <c r="P26" s="4" t="s">
        <v>144</v>
      </c>
      <c r="Q26" s="4"/>
    </row>
    <row r="27" spans="1:17" ht="51.75" customHeight="1">
      <c r="A27" s="4">
        <v>23</v>
      </c>
      <c r="B27" s="4" t="s">
        <v>145</v>
      </c>
      <c r="C27" s="4" t="s">
        <v>64</v>
      </c>
      <c r="D27" s="4" t="s">
        <v>65</v>
      </c>
      <c r="E27" s="4" t="s">
        <v>146</v>
      </c>
      <c r="F27" s="4" t="s">
        <v>147</v>
      </c>
      <c r="G27" s="5" t="s">
        <v>24</v>
      </c>
      <c r="H27" s="4" t="s">
        <v>148</v>
      </c>
      <c r="I27" s="4" t="str">
        <f>IFERROR(INDEX('Пакеты ИСР'!$E$5:$E$29,MATCH($H27,'Пакеты ИСР'!$A$5:$A$29,0)),"")</f>
        <v>3.2, 3.3, 2.5</v>
      </c>
      <c r="J27" s="4" t="s">
        <v>142</v>
      </c>
      <c r="K27" s="4" t="str">
        <f>IFERROR(INDEX('План итераций'!$C$5:$C$11,MATCH($J27,'План итераций'!$A$5:$A$11,0)),"")</f>
        <v>В3, 12.12.2026</v>
      </c>
      <c r="L27" s="4" t="s">
        <v>149</v>
      </c>
      <c r="M27" s="6">
        <f>IFERROR(INDEX('Пакеты ИСР'!$D$5:$D$29,MATCH($H27,'Пакеты ИСР'!$A$5:$A$29,0))/COUNTIF($H$5:$H$55,$H27),0)</f>
        <v>28.83</v>
      </c>
      <c r="N27" s="7"/>
      <c r="O27" s="4" t="s">
        <v>33</v>
      </c>
      <c r="P27" s="4" t="s">
        <v>150</v>
      </c>
      <c r="Q27" s="4"/>
    </row>
    <row r="28" spans="1:17" ht="51.75" customHeight="1">
      <c r="A28" s="4">
        <v>24</v>
      </c>
      <c r="B28" s="4" t="s">
        <v>151</v>
      </c>
      <c r="C28" s="4" t="s">
        <v>64</v>
      </c>
      <c r="D28" s="4" t="s">
        <v>65</v>
      </c>
      <c r="E28" s="4" t="s">
        <v>152</v>
      </c>
      <c r="F28" s="4" t="s">
        <v>153</v>
      </c>
      <c r="G28" s="5" t="s">
        <v>24</v>
      </c>
      <c r="H28" s="4" t="s">
        <v>154</v>
      </c>
      <c r="I28" s="4" t="str">
        <f>IFERROR(INDEX('Пакеты ИСР'!$E$5:$E$29,MATCH($H28,'Пакеты ИСР'!$A$5:$A$29,0)),"")</f>
        <v>4.1, 3.1, 2.2</v>
      </c>
      <c r="J28" s="4" t="s">
        <v>155</v>
      </c>
      <c r="K28" s="4" t="str">
        <f>IFERROR(INDEX('План итераций'!$C$5:$C$11,MATCH($J28,'План итераций'!$A$5:$A$11,0)),"")</f>
        <v>В4, 26.12.2026</v>
      </c>
      <c r="L28" s="4" t="s">
        <v>70</v>
      </c>
      <c r="M28" s="6">
        <f>IFERROR(INDEX('Пакеты ИСР'!$D$5:$D$29,MATCH($H28,'Пакеты ИСР'!$A$5:$A$29,0))/COUNTIF($H$5:$H$55,$H28),0)</f>
        <v>17.914999999999999</v>
      </c>
      <c r="N28" s="7"/>
      <c r="O28" s="4" t="s">
        <v>33</v>
      </c>
      <c r="P28" s="4" t="s">
        <v>156</v>
      </c>
      <c r="Q28" s="4" t="s">
        <v>157</v>
      </c>
    </row>
    <row r="29" spans="1:17" ht="51.75" customHeight="1">
      <c r="A29" s="4">
        <v>25</v>
      </c>
      <c r="B29" s="4" t="s">
        <v>158</v>
      </c>
      <c r="C29" s="4" t="s">
        <v>64</v>
      </c>
      <c r="D29" s="4" t="s">
        <v>65</v>
      </c>
      <c r="E29" s="4" t="s">
        <v>159</v>
      </c>
      <c r="F29" s="4" t="s">
        <v>160</v>
      </c>
      <c r="G29" s="5" t="s">
        <v>24</v>
      </c>
      <c r="H29" s="4" t="s">
        <v>154</v>
      </c>
      <c r="I29" s="4" t="str">
        <f>IFERROR(INDEX('Пакеты ИСР'!$E$5:$E$29,MATCH($H29,'Пакеты ИСР'!$A$5:$A$29,0)),"")</f>
        <v>4.1, 3.1, 2.2</v>
      </c>
      <c r="J29" s="4" t="s">
        <v>155</v>
      </c>
      <c r="K29" s="4" t="str">
        <f>IFERROR(INDEX('План итераций'!$C$5:$C$11,MATCH($J29,'План итераций'!$A$5:$A$11,0)),"")</f>
        <v>В4, 26.12.2026</v>
      </c>
      <c r="L29" s="4" t="s">
        <v>70</v>
      </c>
      <c r="M29" s="6">
        <f>IFERROR(INDEX('Пакеты ИСР'!$D$5:$D$29,MATCH($H29,'Пакеты ИСР'!$A$5:$A$29,0))/COUNTIF($H$5:$H$55,$H29),0)</f>
        <v>17.914999999999999</v>
      </c>
      <c r="N29" s="7"/>
      <c r="O29" s="4" t="s">
        <v>33</v>
      </c>
      <c r="P29" s="4" t="s">
        <v>156</v>
      </c>
      <c r="Q29" s="4"/>
    </row>
    <row r="30" spans="1:17" ht="51.75" customHeight="1">
      <c r="A30" s="4">
        <v>26</v>
      </c>
      <c r="B30" s="4" t="s">
        <v>161</v>
      </c>
      <c r="C30" s="4" t="s">
        <v>64</v>
      </c>
      <c r="D30" s="4" t="s">
        <v>132</v>
      </c>
      <c r="E30" s="4" t="s">
        <v>162</v>
      </c>
      <c r="F30" s="4" t="s">
        <v>163</v>
      </c>
      <c r="G30" s="8" t="s">
        <v>55</v>
      </c>
      <c r="H30" s="4" t="s">
        <v>164</v>
      </c>
      <c r="I30" s="4" t="str">
        <f>IFERROR(INDEX('Пакеты ИСР'!$E$5:$E$29,MATCH($H30,'Пакеты ИСР'!$A$5:$A$29,0)),"")</f>
        <v>2.2, 2.3, 3.1</v>
      </c>
      <c r="J30" s="4" t="s">
        <v>155</v>
      </c>
      <c r="K30" s="4" t="str">
        <f>IFERROR(INDEX('План итераций'!$C$5:$C$11,MATCH($J30,'План итераций'!$A$5:$A$11,0)),"")</f>
        <v>В4, 26.12.2026</v>
      </c>
      <c r="L30" s="4" t="s">
        <v>165</v>
      </c>
      <c r="M30" s="6">
        <f>IFERROR(INDEX('Пакеты ИСР'!$D$5:$D$29,MATCH($H30,'Пакеты ИСР'!$A$5:$A$29,0))/COUNTIF($H$5:$H$55,$H30),0)</f>
        <v>5.7783333333333333</v>
      </c>
      <c r="N30" s="7"/>
      <c r="O30" s="4" t="s">
        <v>33</v>
      </c>
      <c r="P30" s="4" t="s">
        <v>166</v>
      </c>
      <c r="Q30" s="4"/>
    </row>
    <row r="31" spans="1:17" ht="51.75" customHeight="1">
      <c r="A31" s="4">
        <v>27</v>
      </c>
      <c r="B31" s="4" t="s">
        <v>167</v>
      </c>
      <c r="C31" s="4" t="s">
        <v>64</v>
      </c>
      <c r="D31" s="4" t="s">
        <v>132</v>
      </c>
      <c r="E31" s="4" t="s">
        <v>168</v>
      </c>
      <c r="F31" s="4" t="s">
        <v>169</v>
      </c>
      <c r="G31" s="8" t="s">
        <v>55</v>
      </c>
      <c r="H31" s="4" t="s">
        <v>164</v>
      </c>
      <c r="I31" s="4" t="str">
        <f>IFERROR(INDEX('Пакеты ИСР'!$E$5:$E$29,MATCH($H31,'Пакеты ИСР'!$A$5:$A$29,0)),"")</f>
        <v>2.2, 2.3, 3.1</v>
      </c>
      <c r="J31" s="4" t="s">
        <v>155</v>
      </c>
      <c r="K31" s="4" t="str">
        <f>IFERROR(INDEX('План итераций'!$C$5:$C$11,MATCH($J31,'План итераций'!$A$5:$A$11,0)),"")</f>
        <v>В4, 26.12.2026</v>
      </c>
      <c r="L31" s="4" t="s">
        <v>165</v>
      </c>
      <c r="M31" s="6">
        <f>IFERROR(INDEX('Пакеты ИСР'!$D$5:$D$29,MATCH($H31,'Пакеты ИСР'!$A$5:$A$29,0))/COUNTIF($H$5:$H$55,$H31),0)</f>
        <v>5.7783333333333333</v>
      </c>
      <c r="N31" s="7"/>
      <c r="O31" s="4" t="s">
        <v>33</v>
      </c>
      <c r="P31" s="4" t="s">
        <v>166</v>
      </c>
      <c r="Q31" s="4" t="s">
        <v>85</v>
      </c>
    </row>
    <row r="32" spans="1:17" ht="51.75" customHeight="1">
      <c r="A32" s="4">
        <v>28</v>
      </c>
      <c r="B32" s="4" t="s">
        <v>170</v>
      </c>
      <c r="C32" s="4" t="s">
        <v>64</v>
      </c>
      <c r="D32" s="4" t="s">
        <v>65</v>
      </c>
      <c r="E32" s="4" t="s">
        <v>171</v>
      </c>
      <c r="F32" s="4" t="s">
        <v>172</v>
      </c>
      <c r="G32" s="8" t="s">
        <v>55</v>
      </c>
      <c r="H32" s="4" t="s">
        <v>164</v>
      </c>
      <c r="I32" s="4" t="str">
        <f>IFERROR(INDEX('Пакеты ИСР'!$E$5:$E$29,MATCH($H32,'Пакеты ИСР'!$A$5:$A$29,0)),"")</f>
        <v>2.2, 2.3, 3.1</v>
      </c>
      <c r="J32" s="4" t="s">
        <v>155</v>
      </c>
      <c r="K32" s="4" t="str">
        <f>IFERROR(INDEX('План итераций'!$C$5:$C$11,MATCH($J32,'План итераций'!$A$5:$A$11,0)),"")</f>
        <v>В4, 26.12.2026</v>
      </c>
      <c r="L32" s="4" t="s">
        <v>165</v>
      </c>
      <c r="M32" s="6">
        <f>IFERROR(INDEX('Пакеты ИСР'!$D$5:$D$29,MATCH($H32,'Пакеты ИСР'!$A$5:$A$29,0))/COUNTIF($H$5:$H$55,$H32),0)</f>
        <v>5.7783333333333333</v>
      </c>
      <c r="N32" s="7"/>
      <c r="O32" s="4" t="s">
        <v>33</v>
      </c>
      <c r="P32" s="4" t="s">
        <v>166</v>
      </c>
      <c r="Q32" s="4" t="s">
        <v>85</v>
      </c>
    </row>
    <row r="33" spans="1:17" ht="51.75" customHeight="1">
      <c r="A33" s="4">
        <v>29</v>
      </c>
      <c r="B33" s="4" t="s">
        <v>173</v>
      </c>
      <c r="C33" s="4" t="s">
        <v>64</v>
      </c>
      <c r="D33" s="4" t="s">
        <v>65</v>
      </c>
      <c r="E33" s="4" t="s">
        <v>174</v>
      </c>
      <c r="F33" s="4" t="s">
        <v>175</v>
      </c>
      <c r="G33" s="8" t="s">
        <v>55</v>
      </c>
      <c r="H33" s="4" t="s">
        <v>164</v>
      </c>
      <c r="I33" s="4" t="str">
        <f>IFERROR(INDEX('Пакеты ИСР'!$E$5:$E$29,MATCH($H33,'Пакеты ИСР'!$A$5:$A$29,0)),"")</f>
        <v>2.2, 2.3, 3.1</v>
      </c>
      <c r="J33" s="4" t="s">
        <v>155</v>
      </c>
      <c r="K33" s="4" t="str">
        <f>IFERROR(INDEX('План итераций'!$C$5:$C$11,MATCH($J33,'План итераций'!$A$5:$A$11,0)),"")</f>
        <v>В4, 26.12.2026</v>
      </c>
      <c r="L33" s="4" t="s">
        <v>43</v>
      </c>
      <c r="M33" s="6">
        <f>IFERROR(INDEX('Пакеты ИСР'!$D$5:$D$29,MATCH($H33,'Пакеты ИСР'!$A$5:$A$29,0))/COUNTIF($H$5:$H$55,$H33),0)</f>
        <v>5.7783333333333333</v>
      </c>
      <c r="N33" s="7"/>
      <c r="O33" s="4" t="s">
        <v>33</v>
      </c>
      <c r="P33" s="4" t="s">
        <v>176</v>
      </c>
      <c r="Q33" s="4" t="s">
        <v>85</v>
      </c>
    </row>
    <row r="34" spans="1:17" ht="51.75" customHeight="1">
      <c r="A34" s="4">
        <v>30</v>
      </c>
      <c r="B34" s="4" t="s">
        <v>177</v>
      </c>
      <c r="C34" s="4" t="s">
        <v>64</v>
      </c>
      <c r="D34" s="4" t="s">
        <v>132</v>
      </c>
      <c r="E34" s="4" t="s">
        <v>178</v>
      </c>
      <c r="F34" s="4" t="s">
        <v>179</v>
      </c>
      <c r="G34" s="8" t="s">
        <v>55</v>
      </c>
      <c r="H34" s="4" t="s">
        <v>164</v>
      </c>
      <c r="I34" s="4" t="str">
        <f>IFERROR(INDEX('Пакеты ИСР'!$E$5:$E$29,MATCH($H34,'Пакеты ИСР'!$A$5:$A$29,0)),"")</f>
        <v>2.2, 2.3, 3.1</v>
      </c>
      <c r="J34" s="4" t="s">
        <v>155</v>
      </c>
      <c r="K34" s="4" t="str">
        <f>IFERROR(INDEX('План итераций'!$C$5:$C$11,MATCH($J34,'План итераций'!$A$5:$A$11,0)),"")</f>
        <v>В4, 26.12.2026</v>
      </c>
      <c r="L34" s="4" t="s">
        <v>165</v>
      </c>
      <c r="M34" s="6">
        <f>IFERROR(INDEX('Пакеты ИСР'!$D$5:$D$29,MATCH($H34,'Пакеты ИСР'!$A$5:$A$29,0))/COUNTIF($H$5:$H$55,$H34),0)</f>
        <v>5.7783333333333333</v>
      </c>
      <c r="N34" s="7"/>
      <c r="O34" s="4" t="s">
        <v>33</v>
      </c>
      <c r="P34" s="4" t="s">
        <v>166</v>
      </c>
      <c r="Q34" s="4"/>
    </row>
    <row r="35" spans="1:17" ht="51.75" customHeight="1">
      <c r="A35" s="4">
        <v>31</v>
      </c>
      <c r="B35" s="4" t="s">
        <v>180</v>
      </c>
      <c r="C35" s="4" t="s">
        <v>64</v>
      </c>
      <c r="D35" s="4" t="s">
        <v>132</v>
      </c>
      <c r="E35" s="4" t="s">
        <v>181</v>
      </c>
      <c r="F35" s="4" t="s">
        <v>182</v>
      </c>
      <c r="G35" s="8" t="s">
        <v>55</v>
      </c>
      <c r="H35" s="4" t="s">
        <v>164</v>
      </c>
      <c r="I35" s="4" t="str">
        <f>IFERROR(INDEX('Пакеты ИСР'!$E$5:$E$29,MATCH($H35,'Пакеты ИСР'!$A$5:$A$29,0)),"")</f>
        <v>2.2, 2.3, 3.1</v>
      </c>
      <c r="J35" s="4" t="s">
        <v>155</v>
      </c>
      <c r="K35" s="4" t="str">
        <f>IFERROR(INDEX('План итераций'!$C$5:$C$11,MATCH($J35,'План итераций'!$A$5:$A$11,0)),"")</f>
        <v>В4, 26.12.2026</v>
      </c>
      <c r="L35" s="4" t="s">
        <v>165</v>
      </c>
      <c r="M35" s="6">
        <f>IFERROR(INDEX('Пакеты ИСР'!$D$5:$D$29,MATCH($H35,'Пакеты ИСР'!$A$5:$A$29,0))/COUNTIF($H$5:$H$55,$H35),0)</f>
        <v>5.7783333333333333</v>
      </c>
      <c r="N35" s="7"/>
      <c r="O35" s="4" t="s">
        <v>33</v>
      </c>
      <c r="P35" s="4" t="s">
        <v>166</v>
      </c>
      <c r="Q35" s="4"/>
    </row>
    <row r="36" spans="1:17" ht="51.75" customHeight="1">
      <c r="A36" s="4">
        <v>32</v>
      </c>
      <c r="B36" s="4" t="s">
        <v>183</v>
      </c>
      <c r="C36" s="4" t="s">
        <v>20</v>
      </c>
      <c r="D36" s="4" t="s">
        <v>21</v>
      </c>
      <c r="E36" s="4" t="s">
        <v>184</v>
      </c>
      <c r="F36" s="4" t="s">
        <v>185</v>
      </c>
      <c r="G36" s="5" t="s">
        <v>24</v>
      </c>
      <c r="H36" s="4" t="s">
        <v>186</v>
      </c>
      <c r="I36" s="4" t="str">
        <f>IFERROR(INDEX('Пакеты ИСР'!$E$5:$E$29,MATCH($H36,'Пакеты ИСР'!$A$5:$A$29,0)),"")</f>
        <v>1.3, 6.3</v>
      </c>
      <c r="J36" s="4" t="s">
        <v>155</v>
      </c>
      <c r="K36" s="4" t="str">
        <f>IFERROR(INDEX('План итераций'!$C$5:$C$11,MATCH($J36,'План итераций'!$A$5:$A$11,0)),"")</f>
        <v>В4, 26.12.2026</v>
      </c>
      <c r="L36" s="4" t="s">
        <v>187</v>
      </c>
      <c r="M36" s="6">
        <f>IFERROR(INDEX('Пакеты ИСР'!$D$5:$D$29,MATCH($H36,'Пакеты ИСР'!$A$5:$A$29,0))/COUNTIF($H$5:$H$55,$H36),0)</f>
        <v>18.670000000000002</v>
      </c>
      <c r="N36" s="7"/>
      <c r="O36" s="4" t="s">
        <v>33</v>
      </c>
      <c r="P36" s="4"/>
      <c r="Q36" s="4"/>
    </row>
    <row r="37" spans="1:17" ht="51.75" customHeight="1">
      <c r="A37" s="4">
        <v>33</v>
      </c>
      <c r="B37" s="4" t="s">
        <v>188</v>
      </c>
      <c r="C37" s="4" t="s">
        <v>20</v>
      </c>
      <c r="D37" s="4" t="s">
        <v>21</v>
      </c>
      <c r="E37" s="4" t="s">
        <v>189</v>
      </c>
      <c r="F37" s="4" t="s">
        <v>190</v>
      </c>
      <c r="G37" s="5" t="s">
        <v>24</v>
      </c>
      <c r="H37" s="4" t="s">
        <v>191</v>
      </c>
      <c r="I37" s="4" t="str">
        <f>IFERROR(INDEX('Пакеты ИСР'!$E$5:$E$29,MATCH($H37,'Пакеты ИСР'!$A$5:$A$29,0)),"")</f>
        <v>3.1–5.3 по итерациям</v>
      </c>
      <c r="J37" s="4" t="s">
        <v>192</v>
      </c>
      <c r="K37" s="4" t="str">
        <f>IFERROR(INDEX('План итераций'!$C$5:$C$11,MATCH($J37,'План итераций'!$A$5:$A$11,0)),"")</f>
        <v>каждая итерация</v>
      </c>
      <c r="L37" s="4" t="s">
        <v>193</v>
      </c>
      <c r="M37" s="6">
        <f>IFERROR(INDEX('Пакеты ИСР'!$D$5:$D$29,MATCH($H37,'Пакеты ИСР'!$A$5:$A$29,0))/COUNTIF($H$5:$H$55,$H37),0)</f>
        <v>56.67</v>
      </c>
      <c r="N37" s="7"/>
      <c r="O37" s="4" t="s">
        <v>33</v>
      </c>
      <c r="P37" s="4"/>
      <c r="Q37" s="4" t="s">
        <v>194</v>
      </c>
    </row>
    <row r="38" spans="1:17" ht="51.75" customHeight="1">
      <c r="A38" s="4">
        <v>34</v>
      </c>
      <c r="B38" s="4" t="s">
        <v>195</v>
      </c>
      <c r="C38" s="4" t="s">
        <v>20</v>
      </c>
      <c r="D38" s="4" t="s">
        <v>21</v>
      </c>
      <c r="E38" s="4" t="s">
        <v>196</v>
      </c>
      <c r="F38" s="4" t="s">
        <v>197</v>
      </c>
      <c r="G38" s="5" t="s">
        <v>24</v>
      </c>
      <c r="H38" s="4" t="s">
        <v>198</v>
      </c>
      <c r="I38" s="4" t="str">
        <f>IFERROR(INDEX('Пакеты ИСР'!$E$5:$E$29,MATCH($H38,'Пакеты ИСР'!$A$5:$A$29,0)),"")</f>
        <v>6.2 по итерациям</v>
      </c>
      <c r="J38" s="4" t="s">
        <v>192</v>
      </c>
      <c r="K38" s="4" t="str">
        <f>IFERROR(INDEX('План итераций'!$C$5:$C$11,MATCH($J38,'План итераций'!$A$5:$A$11,0)),"")</f>
        <v>каждая итерация</v>
      </c>
      <c r="L38" s="4" t="s">
        <v>199</v>
      </c>
      <c r="M38" s="6">
        <f>IFERROR(INDEX('Пакеты ИСР'!$D$5:$D$29,MATCH($H38,'Пакеты ИСР'!$A$5:$A$29,0))/COUNTIF($H$5:$H$55,$H38),0)</f>
        <v>24.67</v>
      </c>
      <c r="N38" s="7"/>
      <c r="O38" s="4" t="s">
        <v>33</v>
      </c>
      <c r="P38" s="4"/>
      <c r="Q38" s="4" t="s">
        <v>200</v>
      </c>
    </row>
    <row r="39" spans="1:17" ht="51.75" customHeight="1">
      <c r="A39" s="4">
        <v>35</v>
      </c>
      <c r="B39" s="4" t="s">
        <v>201</v>
      </c>
      <c r="C39" s="4" t="s">
        <v>20</v>
      </c>
      <c r="D39" s="4" t="s">
        <v>21</v>
      </c>
      <c r="E39" s="4" t="s">
        <v>202</v>
      </c>
      <c r="F39" s="4" t="s">
        <v>203</v>
      </c>
      <c r="G39" s="5" t="s">
        <v>24</v>
      </c>
      <c r="H39" s="4" t="s">
        <v>204</v>
      </c>
      <c r="I39" s="4" t="str">
        <f>IFERROR(INDEX('Пакеты ИСР'!$E$5:$E$29,MATCH($H39,'Пакеты ИСР'!$A$5:$A$29,0)),"")</f>
        <v>1.1</v>
      </c>
      <c r="J39" s="4" t="s">
        <v>192</v>
      </c>
      <c r="K39" s="4" t="str">
        <f>IFERROR(INDEX('План итераций'!$C$5:$C$11,MATCH($J39,'План итераций'!$A$5:$A$11,0)),"")</f>
        <v>каждая итерация</v>
      </c>
      <c r="L39" s="4"/>
      <c r="M39" s="6">
        <f>IFERROR(INDEX('Пакеты ИСР'!$D$5:$D$29,MATCH($H39,'Пакеты ИСР'!$A$5:$A$29,0))/COUNTIF($H$5:$H$55,$H39),0)</f>
        <v>8.65</v>
      </c>
      <c r="N39" s="7"/>
      <c r="O39" s="4" t="s">
        <v>33</v>
      </c>
      <c r="P39" s="4"/>
      <c r="Q39" s="4"/>
    </row>
    <row r="40" spans="1:17" ht="51.75" customHeight="1">
      <c r="A40" s="4">
        <v>36</v>
      </c>
      <c r="B40" s="4" t="s">
        <v>205</v>
      </c>
      <c r="C40" s="4" t="s">
        <v>20</v>
      </c>
      <c r="D40" s="4" t="s">
        <v>21</v>
      </c>
      <c r="E40" s="4" t="s">
        <v>206</v>
      </c>
      <c r="F40" s="4" t="s">
        <v>207</v>
      </c>
      <c r="G40" s="5" t="s">
        <v>24</v>
      </c>
      <c r="H40" s="4" t="s">
        <v>208</v>
      </c>
      <c r="I40" s="4" t="str">
        <f>IFERROR(INDEX('Пакеты ИСР'!$E$5:$E$29,MATCH($H40,'Пакеты ИСР'!$A$5:$A$29,0)),"")</f>
        <v>1.2</v>
      </c>
      <c r="J40" s="4" t="s">
        <v>192</v>
      </c>
      <c r="K40" s="4" t="str">
        <f>IFERROR(INDEX('План итераций'!$C$5:$C$11,MATCH($J40,'План итераций'!$A$5:$A$11,0)),"")</f>
        <v>каждая итерация</v>
      </c>
      <c r="L40" s="4" t="s">
        <v>187</v>
      </c>
      <c r="M40" s="6">
        <f>IFERROR(INDEX('Пакеты ИСР'!$D$5:$D$29,MATCH($H40,'Пакеты ИСР'!$A$5:$A$29,0))/COUNTIF($H$5:$H$55,$H40),0)</f>
        <v>38.25</v>
      </c>
      <c r="N40" s="7"/>
      <c r="O40" s="4" t="s">
        <v>33</v>
      </c>
      <c r="P40" s="4"/>
      <c r="Q40" s="4"/>
    </row>
    <row r="41" spans="1:17" ht="51.75" customHeight="1">
      <c r="A41" s="4">
        <v>37</v>
      </c>
      <c r="B41" s="4" t="s">
        <v>209</v>
      </c>
      <c r="C41" s="4" t="s">
        <v>20</v>
      </c>
      <c r="D41" s="4" t="s">
        <v>21</v>
      </c>
      <c r="E41" s="4" t="s">
        <v>210</v>
      </c>
      <c r="F41" s="4" t="s">
        <v>211</v>
      </c>
      <c r="G41" s="5" t="s">
        <v>24</v>
      </c>
      <c r="H41" s="4" t="s">
        <v>212</v>
      </c>
      <c r="I41" s="4" t="str">
        <f>IFERROR(INDEX('Пакеты ИСР'!$E$5:$E$29,MATCH($H41,'Пакеты ИСР'!$A$5:$A$29,0)),"")</f>
        <v>1.3, 6.3</v>
      </c>
      <c r="J41" s="4" t="s">
        <v>192</v>
      </c>
      <c r="K41" s="4" t="str">
        <f>IFERROR(INDEX('План итераций'!$C$5:$C$11,MATCH($J41,'План итераций'!$A$5:$A$11,0)),"")</f>
        <v>каждая итерация</v>
      </c>
      <c r="L41" s="4"/>
      <c r="M41" s="6">
        <f>IFERROR(INDEX('Пакеты ИСР'!$D$5:$D$29,MATCH($H41,'Пакеты ИСР'!$A$5:$A$29,0))/COUNTIF($H$5:$H$55,$H41),0)</f>
        <v>12.67</v>
      </c>
      <c r="N41" s="7"/>
      <c r="O41" s="4" t="s">
        <v>33</v>
      </c>
      <c r="P41" s="4"/>
      <c r="Q41" s="4" t="s">
        <v>213</v>
      </c>
    </row>
    <row r="42" spans="1:17" ht="51.75" customHeight="1">
      <c r="A42" s="10">
        <v>38</v>
      </c>
      <c r="B42" s="10" t="s">
        <v>214</v>
      </c>
      <c r="C42" s="10" t="s">
        <v>64</v>
      </c>
      <c r="D42" s="10" t="s">
        <v>65</v>
      </c>
      <c r="E42" s="10" t="s">
        <v>215</v>
      </c>
      <c r="F42" s="10" t="s">
        <v>216</v>
      </c>
      <c r="G42" s="11" t="s">
        <v>55</v>
      </c>
      <c r="H42" s="10" t="s">
        <v>217</v>
      </c>
      <c r="I42" s="10" t="str">
        <f>IFERROR(INDEX('Пакеты ИСР'!$E$5:$E$29,MATCH($H42,'Пакеты ИСР'!$A$5:$A$29,0)),"")</f>
        <v>3.1, 2.2, 2.3</v>
      </c>
      <c r="J42" s="10" t="s">
        <v>218</v>
      </c>
      <c r="K42" s="10" t="str">
        <f>IFERROR(INDEX('План итераций'!$C$5:$C$11,MATCH($J42,'План итераций'!$A$5:$A$11,0)),"")</f>
        <v>—</v>
      </c>
      <c r="L42" s="10" t="s">
        <v>219</v>
      </c>
      <c r="M42" s="12">
        <f>IFERROR(INDEX('Пакеты ИСР'!$D$5:$D$29,MATCH($H42,'Пакеты ИСР'!$A$5:$A$29,0))/COUNTIF($H$5:$H$55,$H42),0)</f>
        <v>0</v>
      </c>
      <c r="N42" s="13"/>
      <c r="O42" s="10" t="s">
        <v>218</v>
      </c>
      <c r="P42" s="10" t="s">
        <v>220</v>
      </c>
      <c r="Q42" s="10"/>
    </row>
    <row r="43" spans="1:17" ht="51.75" customHeight="1">
      <c r="A43" s="10">
        <v>39</v>
      </c>
      <c r="B43" s="10" t="s">
        <v>221</v>
      </c>
      <c r="C43" s="10" t="s">
        <v>64</v>
      </c>
      <c r="D43" s="10" t="s">
        <v>65</v>
      </c>
      <c r="E43" s="10" t="s">
        <v>222</v>
      </c>
      <c r="F43" s="10" t="s">
        <v>223</v>
      </c>
      <c r="G43" s="11" t="s">
        <v>55</v>
      </c>
      <c r="H43" s="10" t="s">
        <v>217</v>
      </c>
      <c r="I43" s="10" t="str">
        <f>IFERROR(INDEX('Пакеты ИСР'!$E$5:$E$29,MATCH($H43,'Пакеты ИСР'!$A$5:$A$29,0)),"")</f>
        <v>3.1, 2.2, 2.3</v>
      </c>
      <c r="J43" s="10" t="s">
        <v>218</v>
      </c>
      <c r="K43" s="10" t="str">
        <f>IFERROR(INDEX('План итераций'!$C$5:$C$11,MATCH($J43,'План итераций'!$A$5:$A$11,0)),"")</f>
        <v>—</v>
      </c>
      <c r="L43" s="10" t="s">
        <v>219</v>
      </c>
      <c r="M43" s="12">
        <f>IFERROR(INDEX('Пакеты ИСР'!$D$5:$D$29,MATCH($H43,'Пакеты ИСР'!$A$5:$A$29,0))/COUNTIF($H$5:$H$55,$H43),0)</f>
        <v>0</v>
      </c>
      <c r="N43" s="13"/>
      <c r="O43" s="10" t="s">
        <v>218</v>
      </c>
      <c r="P43" s="10" t="s">
        <v>224</v>
      </c>
      <c r="Q43" s="10"/>
    </row>
    <row r="44" spans="1:17" ht="51.75" customHeight="1">
      <c r="A44" s="10">
        <v>40</v>
      </c>
      <c r="B44" s="10" t="s">
        <v>225</v>
      </c>
      <c r="C44" s="10" t="s">
        <v>64</v>
      </c>
      <c r="D44" s="10" t="s">
        <v>132</v>
      </c>
      <c r="E44" s="10" t="s">
        <v>226</v>
      </c>
      <c r="F44" s="10" t="s">
        <v>227</v>
      </c>
      <c r="G44" s="11" t="s">
        <v>55</v>
      </c>
      <c r="H44" s="10" t="s">
        <v>228</v>
      </c>
      <c r="I44" s="10" t="str">
        <f>IFERROR(INDEX('Пакеты ИСР'!$E$5:$E$29,MATCH($H44,'Пакеты ИСР'!$A$5:$A$29,0)),"")</f>
        <v>5.1, 4.3</v>
      </c>
      <c r="J44" s="10" t="s">
        <v>218</v>
      </c>
      <c r="K44" s="10" t="str">
        <f>IFERROR(INDEX('План итераций'!$C$5:$C$11,MATCH($J44,'План итераций'!$A$5:$A$11,0)),"")</f>
        <v>—</v>
      </c>
      <c r="L44" s="10" t="s">
        <v>165</v>
      </c>
      <c r="M44" s="12">
        <f>IFERROR(INDEX('Пакеты ИСР'!$D$5:$D$29,MATCH($H44,'Пакеты ИСР'!$A$5:$A$29,0))/COUNTIF($H$5:$H$55,$H44),0)</f>
        <v>0</v>
      </c>
      <c r="N44" s="13"/>
      <c r="O44" s="10" t="s">
        <v>218</v>
      </c>
      <c r="P44" s="10" t="s">
        <v>229</v>
      </c>
      <c r="Q44" s="10"/>
    </row>
    <row r="45" spans="1:17" ht="51.75" customHeight="1">
      <c r="A45" s="10">
        <v>41</v>
      </c>
      <c r="B45" s="10" t="s">
        <v>230</v>
      </c>
      <c r="C45" s="10" t="s">
        <v>64</v>
      </c>
      <c r="D45" s="10" t="s">
        <v>132</v>
      </c>
      <c r="E45" s="10" t="s">
        <v>231</v>
      </c>
      <c r="F45" s="10" t="s">
        <v>232</v>
      </c>
      <c r="G45" s="11" t="s">
        <v>55</v>
      </c>
      <c r="H45" s="10" t="s">
        <v>228</v>
      </c>
      <c r="I45" s="10" t="str">
        <f>IFERROR(INDEX('Пакеты ИСР'!$E$5:$E$29,MATCH($H45,'Пакеты ИСР'!$A$5:$A$29,0)),"")</f>
        <v>5.1, 4.3</v>
      </c>
      <c r="J45" s="10" t="s">
        <v>218</v>
      </c>
      <c r="K45" s="10" t="str">
        <f>IFERROR(INDEX('План итераций'!$C$5:$C$11,MATCH($J45,'План итераций'!$A$5:$A$11,0)),"")</f>
        <v>—</v>
      </c>
      <c r="L45" s="10" t="s">
        <v>165</v>
      </c>
      <c r="M45" s="12">
        <f>IFERROR(INDEX('Пакеты ИСР'!$D$5:$D$29,MATCH($H45,'Пакеты ИСР'!$A$5:$A$29,0))/COUNTIF($H$5:$H$55,$H45),0)</f>
        <v>0</v>
      </c>
      <c r="N45" s="13"/>
      <c r="O45" s="10" t="s">
        <v>218</v>
      </c>
      <c r="P45" s="10" t="s">
        <v>233</v>
      </c>
      <c r="Q45" s="10"/>
    </row>
    <row r="46" spans="1:17" ht="51.75" customHeight="1">
      <c r="A46" s="10">
        <v>42</v>
      </c>
      <c r="B46" s="10" t="s">
        <v>234</v>
      </c>
      <c r="C46" s="10" t="s">
        <v>64</v>
      </c>
      <c r="D46" s="10" t="s">
        <v>235</v>
      </c>
      <c r="E46" s="10" t="s">
        <v>236</v>
      </c>
      <c r="F46" s="10" t="s">
        <v>237</v>
      </c>
      <c r="G46" s="11" t="s">
        <v>55</v>
      </c>
      <c r="H46" s="10" t="s">
        <v>238</v>
      </c>
      <c r="I46" s="10" t="str">
        <f>IFERROR(INDEX('Пакеты ИСР'!$E$5:$E$29,MATCH($H46,'Пакеты ИСР'!$A$5:$A$29,0)),"")</f>
        <v>5.1, 4.3, 3.1</v>
      </c>
      <c r="J46" s="10" t="s">
        <v>218</v>
      </c>
      <c r="K46" s="10" t="str">
        <f>IFERROR(INDEX('План итераций'!$C$5:$C$11,MATCH($J46,'План итераций'!$A$5:$A$11,0)),"")</f>
        <v>—</v>
      </c>
      <c r="L46" s="10" t="s">
        <v>239</v>
      </c>
      <c r="M46" s="12">
        <f>IFERROR(INDEX('Пакеты ИСР'!$D$5:$D$29,MATCH($H46,'Пакеты ИСР'!$A$5:$A$29,0))/COUNTIF($H$5:$H$55,$H46),0)</f>
        <v>0</v>
      </c>
      <c r="N46" s="13"/>
      <c r="O46" s="10" t="s">
        <v>218</v>
      </c>
      <c r="P46" s="10" t="s">
        <v>240</v>
      </c>
      <c r="Q46" s="10"/>
    </row>
    <row r="47" spans="1:17" ht="51.75" customHeight="1">
      <c r="A47" s="10">
        <v>43</v>
      </c>
      <c r="B47" s="10" t="s">
        <v>241</v>
      </c>
      <c r="C47" s="10" t="s">
        <v>64</v>
      </c>
      <c r="D47" s="10" t="s">
        <v>235</v>
      </c>
      <c r="E47" s="10" t="s">
        <v>242</v>
      </c>
      <c r="F47" s="10" t="s">
        <v>243</v>
      </c>
      <c r="G47" s="11" t="s">
        <v>55</v>
      </c>
      <c r="H47" s="10" t="s">
        <v>238</v>
      </c>
      <c r="I47" s="10" t="str">
        <f>IFERROR(INDEX('Пакеты ИСР'!$E$5:$E$29,MATCH($H47,'Пакеты ИСР'!$A$5:$A$29,0)),"")</f>
        <v>5.1, 4.3, 3.1</v>
      </c>
      <c r="J47" s="10" t="s">
        <v>218</v>
      </c>
      <c r="K47" s="10" t="str">
        <f>IFERROR(INDEX('План итераций'!$C$5:$C$11,MATCH($J47,'План итераций'!$A$5:$A$11,0)),"")</f>
        <v>—</v>
      </c>
      <c r="L47" s="10" t="s">
        <v>239</v>
      </c>
      <c r="M47" s="12">
        <f>IFERROR(INDEX('Пакеты ИСР'!$D$5:$D$29,MATCH($H47,'Пакеты ИСР'!$A$5:$A$29,0))/COUNTIF($H$5:$H$55,$H47),0)</f>
        <v>0</v>
      </c>
      <c r="N47" s="13"/>
      <c r="O47" s="10" t="s">
        <v>218</v>
      </c>
      <c r="P47" s="10" t="s">
        <v>240</v>
      </c>
      <c r="Q47" s="10"/>
    </row>
    <row r="48" spans="1:17" ht="51.75" customHeight="1">
      <c r="A48" s="10">
        <v>44</v>
      </c>
      <c r="B48" s="10" t="s">
        <v>244</v>
      </c>
      <c r="C48" s="10" t="s">
        <v>64</v>
      </c>
      <c r="D48" s="10" t="s">
        <v>235</v>
      </c>
      <c r="E48" s="10" t="s">
        <v>245</v>
      </c>
      <c r="F48" s="10" t="s">
        <v>246</v>
      </c>
      <c r="G48" s="11" t="s">
        <v>55</v>
      </c>
      <c r="H48" s="10" t="s">
        <v>238</v>
      </c>
      <c r="I48" s="10" t="str">
        <f>IFERROR(INDEX('Пакеты ИСР'!$E$5:$E$29,MATCH($H48,'Пакеты ИСР'!$A$5:$A$29,0)),"")</f>
        <v>5.1, 4.3, 3.1</v>
      </c>
      <c r="J48" s="10" t="s">
        <v>218</v>
      </c>
      <c r="K48" s="10" t="str">
        <f>IFERROR(INDEX('План итераций'!$C$5:$C$11,MATCH($J48,'План итераций'!$A$5:$A$11,0)),"")</f>
        <v>—</v>
      </c>
      <c r="L48" s="10" t="s">
        <v>239</v>
      </c>
      <c r="M48" s="12">
        <f>IFERROR(INDEX('Пакеты ИСР'!$D$5:$D$29,MATCH($H48,'Пакеты ИСР'!$A$5:$A$29,0))/COUNTIF($H$5:$H$55,$H48),0)</f>
        <v>0</v>
      </c>
      <c r="N48" s="13"/>
      <c r="O48" s="10" t="s">
        <v>218</v>
      </c>
      <c r="P48" s="10" t="s">
        <v>240</v>
      </c>
      <c r="Q48" s="10" t="s">
        <v>85</v>
      </c>
    </row>
    <row r="49" spans="1:17" ht="51.75" customHeight="1">
      <c r="A49" s="10">
        <v>45</v>
      </c>
      <c r="B49" s="10" t="s">
        <v>247</v>
      </c>
      <c r="C49" s="10" t="s">
        <v>64</v>
      </c>
      <c r="D49" s="10" t="s">
        <v>235</v>
      </c>
      <c r="E49" s="10" t="s">
        <v>248</v>
      </c>
      <c r="F49" s="10" t="s">
        <v>249</v>
      </c>
      <c r="G49" s="11" t="s">
        <v>55</v>
      </c>
      <c r="H49" s="10" t="s">
        <v>238</v>
      </c>
      <c r="I49" s="10" t="str">
        <f>IFERROR(INDEX('Пакеты ИСР'!$E$5:$E$29,MATCH($H49,'Пакеты ИСР'!$A$5:$A$29,0)),"")</f>
        <v>5.1, 4.3, 3.1</v>
      </c>
      <c r="J49" s="10" t="s">
        <v>218</v>
      </c>
      <c r="K49" s="10" t="str">
        <f>IFERROR(INDEX('План итераций'!$C$5:$C$11,MATCH($J49,'План итераций'!$A$5:$A$11,0)),"")</f>
        <v>—</v>
      </c>
      <c r="L49" s="10" t="s">
        <v>239</v>
      </c>
      <c r="M49" s="12">
        <f>IFERROR(INDEX('Пакеты ИСР'!$D$5:$D$29,MATCH($H49,'Пакеты ИСР'!$A$5:$A$29,0))/COUNTIF($H$5:$H$55,$H49),0)</f>
        <v>0</v>
      </c>
      <c r="N49" s="13"/>
      <c r="O49" s="10" t="s">
        <v>218</v>
      </c>
      <c r="P49" s="10" t="s">
        <v>240</v>
      </c>
      <c r="Q49" s="10"/>
    </row>
    <row r="50" spans="1:17" ht="51.75" customHeight="1">
      <c r="A50" s="10">
        <v>46</v>
      </c>
      <c r="B50" s="10" t="s">
        <v>250</v>
      </c>
      <c r="C50" s="10" t="s">
        <v>64</v>
      </c>
      <c r="D50" s="10" t="s">
        <v>235</v>
      </c>
      <c r="E50" s="10" t="s">
        <v>251</v>
      </c>
      <c r="F50" s="10" t="s">
        <v>252</v>
      </c>
      <c r="G50" s="11" t="s">
        <v>55</v>
      </c>
      <c r="H50" s="10" t="s">
        <v>238</v>
      </c>
      <c r="I50" s="10" t="str">
        <f>IFERROR(INDEX('Пакеты ИСР'!$E$5:$E$29,MATCH($H50,'Пакеты ИСР'!$A$5:$A$29,0)),"")</f>
        <v>5.1, 4.3, 3.1</v>
      </c>
      <c r="J50" s="10" t="s">
        <v>218</v>
      </c>
      <c r="K50" s="10" t="str">
        <f>IFERROR(INDEX('План итераций'!$C$5:$C$11,MATCH($J50,'План итераций'!$A$5:$A$11,0)),"")</f>
        <v>—</v>
      </c>
      <c r="L50" s="10" t="s">
        <v>239</v>
      </c>
      <c r="M50" s="12">
        <f>IFERROR(INDEX('Пакеты ИСР'!$D$5:$D$29,MATCH($H50,'Пакеты ИСР'!$A$5:$A$29,0))/COUNTIF($H$5:$H$55,$H50),0)</f>
        <v>0</v>
      </c>
      <c r="N50" s="13"/>
      <c r="O50" s="10" t="s">
        <v>218</v>
      </c>
      <c r="P50" s="10" t="s">
        <v>253</v>
      </c>
      <c r="Q50" s="10"/>
    </row>
    <row r="51" spans="1:17" ht="51.75" customHeight="1">
      <c r="A51" s="10">
        <v>47</v>
      </c>
      <c r="B51" s="10" t="s">
        <v>254</v>
      </c>
      <c r="C51" s="10" t="s">
        <v>64</v>
      </c>
      <c r="D51" s="10" t="s">
        <v>132</v>
      </c>
      <c r="E51" s="10" t="s">
        <v>255</v>
      </c>
      <c r="F51" s="10" t="s">
        <v>256</v>
      </c>
      <c r="G51" s="11" t="s">
        <v>55</v>
      </c>
      <c r="H51" s="10" t="s">
        <v>238</v>
      </c>
      <c r="I51" s="10" t="str">
        <f>IFERROR(INDEX('Пакеты ИСР'!$E$5:$E$29,MATCH($H51,'Пакеты ИСР'!$A$5:$A$29,0)),"")</f>
        <v>5.1, 4.3, 3.1</v>
      </c>
      <c r="J51" s="10" t="s">
        <v>218</v>
      </c>
      <c r="K51" s="10" t="str">
        <f>IFERROR(INDEX('План итераций'!$C$5:$C$11,MATCH($J51,'План итераций'!$A$5:$A$11,0)),"")</f>
        <v>—</v>
      </c>
      <c r="L51" s="10" t="s">
        <v>239</v>
      </c>
      <c r="M51" s="12">
        <f>IFERROR(INDEX('Пакеты ИСР'!$D$5:$D$29,MATCH($H51,'Пакеты ИСР'!$A$5:$A$29,0))/COUNTIF($H$5:$H$55,$H51),0)</f>
        <v>0</v>
      </c>
      <c r="N51" s="13"/>
      <c r="O51" s="10" t="s">
        <v>218</v>
      </c>
      <c r="P51" s="10" t="s">
        <v>240</v>
      </c>
      <c r="Q51" s="10"/>
    </row>
    <row r="52" spans="1:17" ht="51.75" customHeight="1">
      <c r="A52" s="10">
        <v>48</v>
      </c>
      <c r="B52" s="10" t="s">
        <v>257</v>
      </c>
      <c r="C52" s="10" t="s">
        <v>64</v>
      </c>
      <c r="D52" s="10" t="s">
        <v>132</v>
      </c>
      <c r="E52" s="10" t="s">
        <v>258</v>
      </c>
      <c r="F52" s="10" t="s">
        <v>259</v>
      </c>
      <c r="G52" s="11" t="s">
        <v>55</v>
      </c>
      <c r="H52" s="10" t="s">
        <v>238</v>
      </c>
      <c r="I52" s="10" t="str">
        <f>IFERROR(INDEX('Пакеты ИСР'!$E$5:$E$29,MATCH($H52,'Пакеты ИСР'!$A$5:$A$29,0)),"")</f>
        <v>5.1, 4.3, 3.1</v>
      </c>
      <c r="J52" s="10" t="s">
        <v>218</v>
      </c>
      <c r="K52" s="10" t="str">
        <f>IFERROR(INDEX('План итераций'!$C$5:$C$11,MATCH($J52,'План итераций'!$A$5:$A$11,0)),"")</f>
        <v>—</v>
      </c>
      <c r="L52" s="10" t="s">
        <v>239</v>
      </c>
      <c r="M52" s="12">
        <f>IFERROR(INDEX('Пакеты ИСР'!$D$5:$D$29,MATCH($H52,'Пакеты ИСР'!$A$5:$A$29,0))/COUNTIF($H$5:$H$55,$H52),0)</f>
        <v>0</v>
      </c>
      <c r="N52" s="13"/>
      <c r="O52" s="10" t="s">
        <v>218</v>
      </c>
      <c r="P52" s="10" t="s">
        <v>253</v>
      </c>
      <c r="Q52" s="10"/>
    </row>
    <row r="53" spans="1:17" ht="51.75" customHeight="1">
      <c r="A53" s="10">
        <v>49</v>
      </c>
      <c r="B53" s="10" t="s">
        <v>260</v>
      </c>
      <c r="C53" s="10" t="s">
        <v>64</v>
      </c>
      <c r="D53" s="10" t="s">
        <v>235</v>
      </c>
      <c r="E53" s="10" t="s">
        <v>261</v>
      </c>
      <c r="F53" s="10" t="s">
        <v>262</v>
      </c>
      <c r="G53" s="14" t="s">
        <v>135</v>
      </c>
      <c r="H53" s="10" t="s">
        <v>263</v>
      </c>
      <c r="I53" s="10" t="str">
        <f>IFERROR(INDEX('Пакеты ИСР'!$E$5:$E$29,MATCH($H53,'Пакеты ИСР'!$A$5:$A$29,0)),"")</f>
        <v>3.1, 4.3, 5.3</v>
      </c>
      <c r="J53" s="10" t="s">
        <v>218</v>
      </c>
      <c r="K53" s="10" t="str">
        <f>IFERROR(INDEX('План итераций'!$C$5:$C$11,MATCH($J53,'План итераций'!$A$5:$A$11,0)),"")</f>
        <v>—</v>
      </c>
      <c r="L53" s="10" t="s">
        <v>264</v>
      </c>
      <c r="M53" s="12">
        <f>IFERROR(INDEX('Пакеты ИСР'!$D$5:$D$29,MATCH($H53,'Пакеты ИСР'!$A$5:$A$29,0))/COUNTIF($H$5:$H$55,$H53),0)</f>
        <v>0</v>
      </c>
      <c r="N53" s="13"/>
      <c r="O53" s="10" t="s">
        <v>218</v>
      </c>
      <c r="P53" s="10" t="s">
        <v>265</v>
      </c>
      <c r="Q53" s="10"/>
    </row>
    <row r="54" spans="1:17" ht="51.75" customHeight="1">
      <c r="A54" s="10">
        <v>50</v>
      </c>
      <c r="B54" s="10" t="s">
        <v>266</v>
      </c>
      <c r="C54" s="10" t="s">
        <v>64</v>
      </c>
      <c r="D54" s="10" t="s">
        <v>65</v>
      </c>
      <c r="E54" s="10" t="s">
        <v>267</v>
      </c>
      <c r="F54" s="10" t="s">
        <v>268</v>
      </c>
      <c r="G54" s="14" t="s">
        <v>135</v>
      </c>
      <c r="H54" s="10" t="s">
        <v>263</v>
      </c>
      <c r="I54" s="10" t="str">
        <f>IFERROR(INDEX('Пакеты ИСР'!$E$5:$E$29,MATCH($H54,'Пакеты ИСР'!$A$5:$A$29,0)),"")</f>
        <v>3.1, 4.3, 5.3</v>
      </c>
      <c r="J54" s="10" t="s">
        <v>218</v>
      </c>
      <c r="K54" s="10" t="str">
        <f>IFERROR(INDEX('План итераций'!$C$5:$C$11,MATCH($J54,'План итераций'!$A$5:$A$11,0)),"")</f>
        <v>—</v>
      </c>
      <c r="L54" s="10" t="s">
        <v>264</v>
      </c>
      <c r="M54" s="12">
        <f>IFERROR(INDEX('Пакеты ИСР'!$D$5:$D$29,MATCH($H54,'Пакеты ИСР'!$A$5:$A$29,0))/COUNTIF($H$5:$H$55,$H54),0)</f>
        <v>0</v>
      </c>
      <c r="N54" s="13"/>
      <c r="O54" s="10" t="s">
        <v>218</v>
      </c>
      <c r="P54" s="10" t="s">
        <v>265</v>
      </c>
      <c r="Q54" s="10"/>
    </row>
    <row r="55" spans="1:17" ht="51.75" customHeight="1">
      <c r="A55" s="10">
        <v>51</v>
      </c>
      <c r="B55" s="10" t="s">
        <v>269</v>
      </c>
      <c r="C55" s="10" t="s">
        <v>64</v>
      </c>
      <c r="D55" s="10" t="s">
        <v>65</v>
      </c>
      <c r="E55" s="10" t="s">
        <v>270</v>
      </c>
      <c r="F55" s="10" t="s">
        <v>271</v>
      </c>
      <c r="G55" s="14" t="s">
        <v>135</v>
      </c>
      <c r="H55" s="10" t="s">
        <v>263</v>
      </c>
      <c r="I55" s="10" t="str">
        <f>IFERROR(INDEX('Пакеты ИСР'!$E$5:$E$29,MATCH($H55,'Пакеты ИСР'!$A$5:$A$29,0)),"")</f>
        <v>3.1, 4.3, 5.3</v>
      </c>
      <c r="J55" s="10" t="s">
        <v>218</v>
      </c>
      <c r="K55" s="10" t="str">
        <f>IFERROR(INDEX('План итераций'!$C$5:$C$11,MATCH($J55,'План итераций'!$A$5:$A$11,0)),"")</f>
        <v>—</v>
      </c>
      <c r="L55" s="10"/>
      <c r="M55" s="12">
        <f>IFERROR(INDEX('Пакеты ИСР'!$D$5:$D$29,MATCH($H55,'Пакеты ИСР'!$A$5:$A$29,0))/COUNTIF($H$5:$H$55,$H55),0)</f>
        <v>0</v>
      </c>
      <c r="N55" s="13"/>
      <c r="O55" s="10" t="s">
        <v>218</v>
      </c>
      <c r="P55" s="10" t="s">
        <v>272</v>
      </c>
      <c r="Q55" s="10"/>
    </row>
    <row r="57" spans="1:17">
      <c r="B57" s="15" t="s">
        <v>273</v>
      </c>
    </row>
  </sheetData>
  <autoFilter ref="A4:Q55"/>
  <mergeCells count="1"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ColWidth="8.6640625" defaultRowHeight="14.4"/>
  <cols>
    <col min="1" max="1" width="18" customWidth="1"/>
    <col min="2" max="2" width="16" customWidth="1"/>
    <col min="3" max="3" width="18" customWidth="1"/>
    <col min="4" max="4" width="62" customWidth="1"/>
    <col min="5" max="5" width="16" customWidth="1"/>
    <col min="6" max="7" width="10" customWidth="1"/>
    <col min="8" max="8" width="14" customWidth="1"/>
    <col min="9" max="9" width="34" customWidth="1"/>
  </cols>
  <sheetData>
    <row r="1" spans="1:9" ht="17.399999999999999">
      <c r="A1" s="2" t="s">
        <v>274</v>
      </c>
    </row>
    <row r="2" spans="1:9" ht="21.75" customHeight="1">
      <c r="A2" s="1" t="s">
        <v>275</v>
      </c>
      <c r="B2" s="1"/>
      <c r="C2" s="1"/>
      <c r="D2" s="1"/>
      <c r="E2" s="1"/>
      <c r="F2" s="1"/>
      <c r="G2" s="1"/>
      <c r="H2" s="1"/>
      <c r="I2" s="1"/>
    </row>
    <row r="4" spans="1:9" ht="36" customHeight="1">
      <c r="A4" s="3" t="s">
        <v>11</v>
      </c>
      <c r="B4" s="3" t="s">
        <v>276</v>
      </c>
      <c r="C4" s="3" t="s">
        <v>12</v>
      </c>
      <c r="D4" s="3" t="s">
        <v>277</v>
      </c>
      <c r="E4" s="3" t="s">
        <v>278</v>
      </c>
      <c r="F4" s="3" t="s">
        <v>279</v>
      </c>
      <c r="G4" s="3" t="s">
        <v>280</v>
      </c>
      <c r="H4" s="3" t="s">
        <v>281</v>
      </c>
      <c r="I4" s="3" t="s">
        <v>282</v>
      </c>
    </row>
    <row r="5" spans="1:9" ht="78" customHeight="1">
      <c r="A5" s="16" t="s">
        <v>26</v>
      </c>
      <c r="B5" s="4" t="s">
        <v>283</v>
      </c>
      <c r="C5" s="4" t="s">
        <v>284</v>
      </c>
      <c r="D5" s="4" t="s">
        <v>285</v>
      </c>
      <c r="E5" s="4" t="s">
        <v>286</v>
      </c>
      <c r="F5" s="4">
        <f>COUNTIF('Бэклог продукта'!$J$5:$J$55,A5)</f>
        <v>7</v>
      </c>
      <c r="G5" s="4">
        <f>COUNTIFS('Бэклог продукта'!$J$5:$J$55,A5,'Бэклог продукта'!$C$5:$C$55,"*история")</f>
        <v>3</v>
      </c>
      <c r="H5" s="6">
        <f>SUMIF('Бэклог продукта'!$J$5:$J$55,A5,'Бэклог продукта'!$M$5:$M$55)</f>
        <v>96.57</v>
      </c>
      <c r="I5" s="4" t="s">
        <v>287</v>
      </c>
    </row>
    <row r="6" spans="1:9" ht="78" customHeight="1">
      <c r="A6" s="16" t="s">
        <v>69</v>
      </c>
      <c r="B6" s="4" t="s">
        <v>288</v>
      </c>
      <c r="C6" s="4" t="s">
        <v>289</v>
      </c>
      <c r="D6" s="4" t="s">
        <v>290</v>
      </c>
      <c r="E6" s="4" t="s">
        <v>291</v>
      </c>
      <c r="F6" s="4">
        <f>COUNTIF('Бэклог продукта'!$J$5:$J$55,A6)</f>
        <v>5</v>
      </c>
      <c r="G6" s="4">
        <f>COUNTIFS('Бэклог продукта'!$J$5:$J$55,A6,'Бэклог продукта'!$C$5:$C$55,"*история")</f>
        <v>5</v>
      </c>
      <c r="H6" s="6">
        <f>SUMIF('Бэклог продукта'!$J$5:$J$55,A6,'Бэклог продукта'!$M$5:$M$55)</f>
        <v>83.67</v>
      </c>
      <c r="I6" s="4" t="s">
        <v>292</v>
      </c>
    </row>
    <row r="7" spans="1:9" ht="78" customHeight="1">
      <c r="A7" s="16" t="s">
        <v>96</v>
      </c>
      <c r="B7" s="4" t="s">
        <v>293</v>
      </c>
      <c r="C7" s="4" t="s">
        <v>294</v>
      </c>
      <c r="D7" s="4" t="s">
        <v>295</v>
      </c>
      <c r="E7" s="4" t="s">
        <v>296</v>
      </c>
      <c r="F7" s="4">
        <f>COUNTIF('Бэклог продукта'!$J$5:$J$55,A7)</f>
        <v>9</v>
      </c>
      <c r="G7" s="4">
        <f>COUNTIFS('Бэклог продукта'!$J$5:$J$55,A7,'Бэклог продукта'!$C$5:$C$55,"*история")</f>
        <v>9</v>
      </c>
      <c r="H7" s="6">
        <f>SUMIF('Бэклог продукта'!$J$5:$J$55,A7,'Бэклог продукта'!$M$5:$M$55)</f>
        <v>80.5</v>
      </c>
      <c r="I7" s="4" t="s">
        <v>297</v>
      </c>
    </row>
    <row r="8" spans="1:9" ht="78" customHeight="1">
      <c r="A8" s="16" t="s">
        <v>142</v>
      </c>
      <c r="B8" s="4" t="s">
        <v>298</v>
      </c>
      <c r="C8" s="4" t="s">
        <v>299</v>
      </c>
      <c r="D8" s="4" t="s">
        <v>300</v>
      </c>
      <c r="E8" s="4" t="s">
        <v>301</v>
      </c>
      <c r="F8" s="4">
        <f>COUNTIF('Бэклог продукта'!$J$5:$J$55,A8)</f>
        <v>2</v>
      </c>
      <c r="G8" s="4">
        <f>COUNTIFS('Бэклог продукта'!$J$5:$J$55,A8,'Бэклог продукта'!$C$5:$C$55,"*история")</f>
        <v>2</v>
      </c>
      <c r="H8" s="6">
        <f>SUMIF('Бэклог продукта'!$J$5:$J$55,A8,'Бэклог продукта'!$M$5:$M$55)</f>
        <v>55.83</v>
      </c>
      <c r="I8" s="4" t="s">
        <v>302</v>
      </c>
    </row>
    <row r="9" spans="1:9" ht="78" customHeight="1">
      <c r="A9" s="16" t="s">
        <v>155</v>
      </c>
      <c r="B9" s="4" t="s">
        <v>303</v>
      </c>
      <c r="C9" s="4" t="s">
        <v>304</v>
      </c>
      <c r="D9" s="4" t="s">
        <v>305</v>
      </c>
      <c r="E9" s="4" t="s">
        <v>306</v>
      </c>
      <c r="F9" s="4">
        <f>COUNTIF('Бэклог продукта'!$J$5:$J$55,A9)</f>
        <v>9</v>
      </c>
      <c r="G9" s="4">
        <f>COUNTIFS('Бэклог продукта'!$J$5:$J$55,A9,'Бэклог продукта'!$C$5:$C$55,"*история")</f>
        <v>8</v>
      </c>
      <c r="H9" s="6">
        <f>SUMIF('Бэклог продукта'!$J$5:$J$55,A9,'Бэклог продукта'!$M$5:$M$55)</f>
        <v>89.170000000000016</v>
      </c>
      <c r="I9" s="4" t="s">
        <v>307</v>
      </c>
    </row>
    <row r="10" spans="1:9" ht="78" customHeight="1">
      <c r="A10" s="16" t="s">
        <v>192</v>
      </c>
      <c r="B10" s="4" t="s">
        <v>308</v>
      </c>
      <c r="C10" s="4" t="s">
        <v>309</v>
      </c>
      <c r="D10" s="4" t="s">
        <v>310</v>
      </c>
      <c r="E10" s="4" t="s">
        <v>311</v>
      </c>
      <c r="F10" s="4">
        <f>COUNTIF('Бэклог продукта'!$J$5:$J$55,A10)</f>
        <v>5</v>
      </c>
      <c r="G10" s="4">
        <f>COUNTIFS('Бэклог продукта'!$J$5:$J$55,A10,'Бэклог продукта'!$C$5:$C$55,"*история")</f>
        <v>0</v>
      </c>
      <c r="H10" s="6">
        <f>SUMIF('Бэклог продукта'!$J$5:$J$55,A10,'Бэклог продукта'!$M$5:$M$55)</f>
        <v>140.91</v>
      </c>
      <c r="I10" s="4" t="s">
        <v>286</v>
      </c>
    </row>
    <row r="11" spans="1:9" ht="78" customHeight="1">
      <c r="A11" s="16" t="s">
        <v>218</v>
      </c>
      <c r="B11" s="4" t="s">
        <v>286</v>
      </c>
      <c r="C11" s="4" t="s">
        <v>286</v>
      </c>
      <c r="D11" s="4" t="s">
        <v>312</v>
      </c>
      <c r="E11" s="4" t="s">
        <v>313</v>
      </c>
      <c r="F11" s="4">
        <f>COUNTIF('Бэклог продукта'!$J$5:$J$55,A11)</f>
        <v>14</v>
      </c>
      <c r="G11" s="4">
        <f>COUNTIFS('Бэклог продукта'!$J$5:$J$55,A11,'Бэклог продукта'!$C$5:$C$55,"*история")</f>
        <v>14</v>
      </c>
      <c r="H11" s="6">
        <f>SUMIF('Бэклог продукта'!$J$5:$J$55,A11,'Бэклог продукта'!$M$5:$M$55)</f>
        <v>0</v>
      </c>
      <c r="I11" s="4" t="s">
        <v>286</v>
      </c>
    </row>
    <row r="12" spans="1:9">
      <c r="A12" s="17" t="s">
        <v>314</v>
      </c>
      <c r="F12" s="17">
        <f>SUM(F5:F11)</f>
        <v>51</v>
      </c>
      <c r="G12" s="17">
        <f>SUM(G5:G11)</f>
        <v>41</v>
      </c>
      <c r="H12" s="18">
        <f>SUM(H5:H11)</f>
        <v>546.65</v>
      </c>
    </row>
    <row r="13" spans="1:9">
      <c r="A13" s="19" t="s">
        <v>315</v>
      </c>
      <c r="F13" s="19">
        <f>COUNTA('Бэклог продукта'!$B$5:$B$55)</f>
        <v>51</v>
      </c>
    </row>
    <row r="14" spans="1:9">
      <c r="A14" s="19" t="s">
        <v>316</v>
      </c>
      <c r="H14" s="20">
        <f>'Пакеты ИСР'!D30</f>
        <v>546.65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ColWidth="8.6640625" defaultRowHeight="14.4"/>
  <cols>
    <col min="1" max="1" width="6" customWidth="1"/>
    <col min="2" max="2" width="44" customWidth="1"/>
    <col min="3" max="3" width="12" customWidth="1"/>
    <col min="4" max="4" width="16" customWidth="1"/>
    <col min="5" max="5" width="22" customWidth="1"/>
    <col min="6" max="7" width="12" customWidth="1"/>
  </cols>
  <sheetData>
    <row r="1" spans="1:7" ht="17.399999999999999">
      <c r="A1" s="2" t="s">
        <v>317</v>
      </c>
    </row>
    <row r="2" spans="1:7" ht="27.75" customHeight="1">
      <c r="A2" s="1" t="s">
        <v>318</v>
      </c>
      <c r="B2" s="1"/>
      <c r="C2" s="1"/>
      <c r="D2" s="1"/>
      <c r="E2" s="1"/>
      <c r="F2" s="1"/>
      <c r="G2" s="1"/>
    </row>
    <row r="4" spans="1:7" ht="24">
      <c r="A4" s="3" t="s">
        <v>319</v>
      </c>
      <c r="B4" s="3" t="s">
        <v>320</v>
      </c>
      <c r="C4" s="3" t="s">
        <v>321</v>
      </c>
      <c r="D4" s="3" t="s">
        <v>281</v>
      </c>
      <c r="E4" s="3" t="s">
        <v>322</v>
      </c>
      <c r="F4" s="3" t="s">
        <v>323</v>
      </c>
      <c r="G4" s="3" t="s">
        <v>324</v>
      </c>
    </row>
    <row r="5" spans="1:7">
      <c r="A5" s="4" t="s">
        <v>25</v>
      </c>
      <c r="B5" s="4" t="s">
        <v>22</v>
      </c>
      <c r="C5" s="4" t="s">
        <v>24</v>
      </c>
      <c r="D5" s="21">
        <v>0</v>
      </c>
      <c r="E5" s="4" t="s">
        <v>286</v>
      </c>
      <c r="F5" s="4" t="s">
        <v>325</v>
      </c>
      <c r="G5" s="4">
        <f>COUNTIF('Бэклог продукта'!$H$5:$H$55,A5)</f>
        <v>1</v>
      </c>
    </row>
    <row r="6" spans="1:7">
      <c r="A6" s="4" t="s">
        <v>61</v>
      </c>
      <c r="B6" s="4" t="s">
        <v>326</v>
      </c>
      <c r="C6" s="4" t="s">
        <v>24</v>
      </c>
      <c r="D6" s="21">
        <v>13.07</v>
      </c>
      <c r="E6" s="4" t="s">
        <v>25</v>
      </c>
      <c r="F6" s="4" t="s">
        <v>325</v>
      </c>
      <c r="G6" s="4">
        <f>COUNTIF('Бэклог продукта'!$H$5:$H$55,A6)</f>
        <v>1</v>
      </c>
    </row>
    <row r="7" spans="1:7">
      <c r="A7" s="4" t="s">
        <v>208</v>
      </c>
      <c r="B7" s="4" t="s">
        <v>206</v>
      </c>
      <c r="C7" s="4" t="s">
        <v>24</v>
      </c>
      <c r="D7" s="21">
        <v>38.25</v>
      </c>
      <c r="E7" s="4" t="s">
        <v>61</v>
      </c>
      <c r="F7" s="4" t="s">
        <v>325</v>
      </c>
      <c r="G7" s="4">
        <f>COUNTIF('Бэклог продукта'!$H$5:$H$55,A7)</f>
        <v>1</v>
      </c>
    </row>
    <row r="8" spans="1:7">
      <c r="A8" s="4" t="s">
        <v>212</v>
      </c>
      <c r="B8" s="4" t="s">
        <v>210</v>
      </c>
      <c r="C8" s="4" t="s">
        <v>24</v>
      </c>
      <c r="D8" s="21">
        <v>12.67</v>
      </c>
      <c r="E8" s="4" t="s">
        <v>327</v>
      </c>
      <c r="F8" s="4" t="s">
        <v>325</v>
      </c>
      <c r="G8" s="4">
        <f>COUNTIF('Бэклог продукта'!$H$5:$H$55,A8)</f>
        <v>1</v>
      </c>
    </row>
    <row r="9" spans="1:7">
      <c r="A9" s="4" t="s">
        <v>204</v>
      </c>
      <c r="B9" s="4" t="s">
        <v>328</v>
      </c>
      <c r="C9" s="4" t="s">
        <v>24</v>
      </c>
      <c r="D9" s="21">
        <v>8.65</v>
      </c>
      <c r="E9" s="4" t="s">
        <v>25</v>
      </c>
      <c r="F9" s="4" t="s">
        <v>325</v>
      </c>
      <c r="G9" s="4">
        <f>COUNTIF('Бэклог продукта'!$H$5:$H$55,A9)</f>
        <v>1</v>
      </c>
    </row>
    <row r="10" spans="1:7">
      <c r="A10" s="4" t="s">
        <v>32</v>
      </c>
      <c r="B10" s="4" t="s">
        <v>30</v>
      </c>
      <c r="C10" s="4" t="s">
        <v>24</v>
      </c>
      <c r="D10" s="21">
        <v>31</v>
      </c>
      <c r="E10" s="4" t="s">
        <v>204</v>
      </c>
      <c r="F10" s="4" t="s">
        <v>325</v>
      </c>
      <c r="G10" s="4">
        <f>COUNTIF('Бэклог продукта'!$H$5:$H$55,A10)</f>
        <v>1</v>
      </c>
    </row>
    <row r="11" spans="1:7">
      <c r="A11" s="4" t="s">
        <v>49</v>
      </c>
      <c r="B11" s="4" t="s">
        <v>329</v>
      </c>
      <c r="C11" s="4" t="s">
        <v>24</v>
      </c>
      <c r="D11" s="21">
        <v>35.83</v>
      </c>
      <c r="E11" s="4" t="s">
        <v>330</v>
      </c>
      <c r="F11" s="4" t="s">
        <v>325</v>
      </c>
      <c r="G11" s="4">
        <f>COUNTIF('Бэклог продукта'!$H$5:$H$55,A11)</f>
        <v>2</v>
      </c>
    </row>
    <row r="12" spans="1:7">
      <c r="A12" s="4" t="s">
        <v>37</v>
      </c>
      <c r="B12" s="4" t="s">
        <v>35</v>
      </c>
      <c r="C12" s="4" t="s">
        <v>24</v>
      </c>
      <c r="D12" s="21">
        <v>16.670000000000002</v>
      </c>
      <c r="E12" s="4" t="s">
        <v>61</v>
      </c>
      <c r="F12" s="4" t="s">
        <v>325</v>
      </c>
      <c r="G12" s="4">
        <f>COUNTIF('Бэклог продукта'!$H$5:$H$55,A12)</f>
        <v>2</v>
      </c>
    </row>
    <row r="13" spans="1:7">
      <c r="A13" s="4" t="s">
        <v>89</v>
      </c>
      <c r="B13" s="4" t="s">
        <v>331</v>
      </c>
      <c r="C13" s="4" t="s">
        <v>24</v>
      </c>
      <c r="D13" s="21">
        <v>22.67</v>
      </c>
      <c r="E13" s="4" t="s">
        <v>332</v>
      </c>
      <c r="F13" s="4" t="s">
        <v>325</v>
      </c>
      <c r="G13" s="4">
        <f>COUNTIF('Бэклог продукта'!$H$5:$H$55,A13)</f>
        <v>1</v>
      </c>
    </row>
    <row r="14" spans="1:7">
      <c r="A14" s="4" t="s">
        <v>76</v>
      </c>
      <c r="B14" s="4" t="s">
        <v>333</v>
      </c>
      <c r="C14" s="4" t="s">
        <v>24</v>
      </c>
      <c r="D14" s="21">
        <v>46.33</v>
      </c>
      <c r="E14" s="4" t="s">
        <v>334</v>
      </c>
      <c r="F14" s="4" t="s">
        <v>325</v>
      </c>
      <c r="G14" s="4">
        <f>COUNTIF('Бэклог продукта'!$H$5:$H$55,A14)</f>
        <v>3</v>
      </c>
    </row>
    <row r="15" spans="1:7">
      <c r="A15" s="4" t="s">
        <v>95</v>
      </c>
      <c r="B15" s="4" t="s">
        <v>335</v>
      </c>
      <c r="C15" s="4" t="s">
        <v>24</v>
      </c>
      <c r="D15" s="21">
        <v>31</v>
      </c>
      <c r="E15" s="4" t="s">
        <v>76</v>
      </c>
      <c r="F15" s="4" t="s">
        <v>325</v>
      </c>
      <c r="G15" s="4">
        <f>COUNTIF('Бэклог продукта'!$H$5:$H$55,A15)</f>
        <v>3</v>
      </c>
    </row>
    <row r="16" spans="1:7">
      <c r="A16" s="4" t="s">
        <v>108</v>
      </c>
      <c r="B16" s="4" t="s">
        <v>336</v>
      </c>
      <c r="C16" s="4" t="s">
        <v>24</v>
      </c>
      <c r="D16" s="21">
        <v>20.67</v>
      </c>
      <c r="E16" s="4" t="s">
        <v>337</v>
      </c>
      <c r="F16" s="4" t="s">
        <v>325</v>
      </c>
      <c r="G16" s="4">
        <f>COUNTIF('Бэклог продукта'!$H$5:$H$55,A16)</f>
        <v>3</v>
      </c>
    </row>
    <row r="17" spans="1:7">
      <c r="A17" s="4" t="s">
        <v>141</v>
      </c>
      <c r="B17" s="4" t="s">
        <v>139</v>
      </c>
      <c r="C17" s="4" t="s">
        <v>24</v>
      </c>
      <c r="D17" s="21">
        <v>27</v>
      </c>
      <c r="E17" s="4" t="s">
        <v>338</v>
      </c>
      <c r="F17" s="4" t="s">
        <v>325</v>
      </c>
      <c r="G17" s="4">
        <f>COUNTIF('Бэклог продукта'!$H$5:$H$55,A17)</f>
        <v>1</v>
      </c>
    </row>
    <row r="18" spans="1:7">
      <c r="A18" s="4" t="s">
        <v>148</v>
      </c>
      <c r="B18" s="4" t="s">
        <v>146</v>
      </c>
      <c r="C18" s="4" t="s">
        <v>24</v>
      </c>
      <c r="D18" s="21">
        <v>28.83</v>
      </c>
      <c r="E18" s="4" t="s">
        <v>339</v>
      </c>
      <c r="F18" s="4" t="s">
        <v>325</v>
      </c>
      <c r="G18" s="4">
        <f>COUNTIF('Бэклог продукта'!$H$5:$H$55,A18)</f>
        <v>1</v>
      </c>
    </row>
    <row r="19" spans="1:7">
      <c r="A19" s="4" t="s">
        <v>68</v>
      </c>
      <c r="B19" s="4" t="s">
        <v>340</v>
      </c>
      <c r="C19" s="4" t="s">
        <v>24</v>
      </c>
      <c r="D19" s="21">
        <v>14.67</v>
      </c>
      <c r="E19" s="4" t="s">
        <v>204</v>
      </c>
      <c r="F19" s="4" t="s">
        <v>325</v>
      </c>
      <c r="G19" s="4">
        <f>COUNTIF('Бэклог продукта'!$H$5:$H$55,A19)</f>
        <v>1</v>
      </c>
    </row>
    <row r="20" spans="1:7">
      <c r="A20" s="4" t="s">
        <v>154</v>
      </c>
      <c r="B20" s="4" t="s">
        <v>341</v>
      </c>
      <c r="C20" s="4" t="s">
        <v>24</v>
      </c>
      <c r="D20" s="21">
        <v>35.83</v>
      </c>
      <c r="E20" s="4" t="s">
        <v>342</v>
      </c>
      <c r="F20" s="4" t="s">
        <v>325</v>
      </c>
      <c r="G20" s="4">
        <f>COUNTIF('Бэклог продукта'!$H$5:$H$55,A20)</f>
        <v>2</v>
      </c>
    </row>
    <row r="21" spans="1:7">
      <c r="A21" s="4" t="s">
        <v>217</v>
      </c>
      <c r="B21" s="4" t="s">
        <v>343</v>
      </c>
      <c r="C21" s="4" t="s">
        <v>55</v>
      </c>
      <c r="D21" s="21">
        <v>0</v>
      </c>
      <c r="E21" s="4" t="s">
        <v>344</v>
      </c>
      <c r="F21" s="4" t="s">
        <v>345</v>
      </c>
      <c r="G21" s="4">
        <f>COUNTIF('Бэклог продукта'!$H$5:$H$55,A21)</f>
        <v>2</v>
      </c>
    </row>
    <row r="22" spans="1:7">
      <c r="A22" s="4" t="s">
        <v>164</v>
      </c>
      <c r="B22" s="4" t="s">
        <v>346</v>
      </c>
      <c r="C22" s="4" t="s">
        <v>55</v>
      </c>
      <c r="D22" s="21">
        <v>34.67</v>
      </c>
      <c r="E22" s="4" t="s">
        <v>347</v>
      </c>
      <c r="F22" s="4" t="s">
        <v>325</v>
      </c>
      <c r="G22" s="4">
        <f>COUNTIF('Бэклог продукта'!$H$5:$H$55,A22)</f>
        <v>6</v>
      </c>
    </row>
    <row r="23" spans="1:7">
      <c r="A23" s="4" t="s">
        <v>228</v>
      </c>
      <c r="B23" s="4" t="s">
        <v>348</v>
      </c>
      <c r="C23" s="4" t="s">
        <v>55</v>
      </c>
      <c r="D23" s="21">
        <v>0</v>
      </c>
      <c r="E23" s="4" t="s">
        <v>349</v>
      </c>
      <c r="F23" s="4" t="s">
        <v>345</v>
      </c>
      <c r="G23" s="4">
        <f>COUNTIF('Бэклог продукта'!$H$5:$H$55,A23)</f>
        <v>2</v>
      </c>
    </row>
    <row r="24" spans="1:7">
      <c r="A24" s="4" t="s">
        <v>238</v>
      </c>
      <c r="B24" s="4" t="s">
        <v>350</v>
      </c>
      <c r="C24" s="4" t="s">
        <v>55</v>
      </c>
      <c r="D24" s="21">
        <v>0</v>
      </c>
      <c r="E24" s="4" t="s">
        <v>351</v>
      </c>
      <c r="F24" s="4" t="s">
        <v>345</v>
      </c>
      <c r="G24" s="4">
        <f>COUNTIF('Бэклог продукта'!$H$5:$H$55,A24)</f>
        <v>7</v>
      </c>
    </row>
    <row r="25" spans="1:7">
      <c r="A25" s="4" t="s">
        <v>263</v>
      </c>
      <c r="B25" s="4" t="s">
        <v>352</v>
      </c>
      <c r="C25" s="4" t="s">
        <v>135</v>
      </c>
      <c r="D25" s="21">
        <v>0</v>
      </c>
      <c r="E25" s="4" t="s">
        <v>353</v>
      </c>
      <c r="F25" s="4" t="s">
        <v>345</v>
      </c>
      <c r="G25" s="4">
        <f>COUNTIF('Бэклог продукта'!$H$5:$H$55,A25)</f>
        <v>3</v>
      </c>
    </row>
    <row r="26" spans="1:7">
      <c r="A26" s="4" t="s">
        <v>122</v>
      </c>
      <c r="B26" s="4" t="s">
        <v>354</v>
      </c>
      <c r="C26" s="4" t="s">
        <v>355</v>
      </c>
      <c r="D26" s="21">
        <v>28.83</v>
      </c>
      <c r="E26" s="4" t="s">
        <v>332</v>
      </c>
      <c r="F26" s="4" t="s">
        <v>325</v>
      </c>
      <c r="G26" s="4">
        <f>COUNTIF('Бэклог продукта'!$H$5:$H$55,A26)</f>
        <v>3</v>
      </c>
    </row>
    <row r="27" spans="1:7">
      <c r="A27" s="4" t="s">
        <v>191</v>
      </c>
      <c r="B27" s="4" t="s">
        <v>189</v>
      </c>
      <c r="C27" s="4" t="s">
        <v>24</v>
      </c>
      <c r="D27" s="21">
        <v>56.67</v>
      </c>
      <c r="E27" s="4" t="s">
        <v>356</v>
      </c>
      <c r="F27" s="4" t="s">
        <v>325</v>
      </c>
      <c r="G27" s="4">
        <f>COUNTIF('Бэклог продукта'!$H$5:$H$55,A27)</f>
        <v>1</v>
      </c>
    </row>
    <row r="28" spans="1:7">
      <c r="A28" s="4" t="s">
        <v>198</v>
      </c>
      <c r="B28" s="4" t="s">
        <v>196</v>
      </c>
      <c r="C28" s="4" t="s">
        <v>24</v>
      </c>
      <c r="D28" s="21">
        <v>24.67</v>
      </c>
      <c r="E28" s="4" t="s">
        <v>357</v>
      </c>
      <c r="F28" s="4" t="s">
        <v>325</v>
      </c>
      <c r="G28" s="4">
        <f>COUNTIF('Бэклог продукта'!$H$5:$H$55,A28)</f>
        <v>1</v>
      </c>
    </row>
    <row r="29" spans="1:7">
      <c r="A29" s="4" t="s">
        <v>186</v>
      </c>
      <c r="B29" s="4" t="s">
        <v>184</v>
      </c>
      <c r="C29" s="4" t="s">
        <v>24</v>
      </c>
      <c r="D29" s="21">
        <v>18.670000000000002</v>
      </c>
      <c r="E29" s="4" t="s">
        <v>327</v>
      </c>
      <c r="F29" s="4" t="s">
        <v>325</v>
      </c>
      <c r="G29" s="4">
        <f>COUNTIF('Бэклог продукта'!$H$5:$H$55,A29)</f>
        <v>1</v>
      </c>
    </row>
    <row r="30" spans="1:7">
      <c r="B30" s="17" t="s">
        <v>314</v>
      </c>
      <c r="D30" s="22">
        <f>SUM(D5:D29)</f>
        <v>546.65</v>
      </c>
      <c r="G30" s="17">
        <f>SUM(G5:G29)</f>
        <v>51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ColWidth="8.6640625" defaultRowHeight="14.4"/>
  <cols>
    <col min="1" max="1" width="130" customWidth="1"/>
  </cols>
  <sheetData>
    <row r="1" spans="1:1" ht="17.399999999999999">
      <c r="A1" s="23" t="s">
        <v>358</v>
      </c>
    </row>
    <row r="2" spans="1:1">
      <c r="A2" s="24" t="s">
        <v>359</v>
      </c>
    </row>
    <row r="3" spans="1:1" ht="48.75" customHeight="1">
      <c r="A3" s="25" t="s">
        <v>360</v>
      </c>
    </row>
    <row r="4" spans="1:1">
      <c r="A4" s="24" t="s">
        <v>361</v>
      </c>
    </row>
    <row r="5" spans="1:1" ht="48.75" customHeight="1">
      <c r="A5" s="25" t="s">
        <v>362</v>
      </c>
    </row>
    <row r="6" spans="1:1">
      <c r="A6" s="24" t="s">
        <v>363</v>
      </c>
    </row>
    <row r="7" spans="1:1" ht="48.75" customHeight="1">
      <c r="A7" s="25" t="s">
        <v>364</v>
      </c>
    </row>
    <row r="8" spans="1:1" ht="33.75" customHeight="1">
      <c r="A8" s="25" t="s">
        <v>365</v>
      </c>
    </row>
    <row r="9" spans="1:1">
      <c r="A9" s="24" t="s">
        <v>366</v>
      </c>
    </row>
    <row r="10" spans="1:1" ht="33.75" customHeight="1">
      <c r="A10" s="25" t="s">
        <v>367</v>
      </c>
    </row>
    <row r="11" spans="1:1" ht="48.75" customHeight="1">
      <c r="A11" s="25" t="s">
        <v>368</v>
      </c>
    </row>
    <row r="12" spans="1:1" ht="33.75" customHeight="1">
      <c r="A12" s="25" t="s">
        <v>369</v>
      </c>
    </row>
    <row r="13" spans="1:1" ht="33.75" customHeight="1">
      <c r="A13" s="25" t="s">
        <v>370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Бэклог продукта</vt:lpstr>
      <vt:lpstr>План итераций</vt:lpstr>
      <vt:lpstr>Пакеты ИСР</vt:lpstr>
      <vt:lpstr>Пояснения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 Windows</cp:lastModifiedBy>
  <cp:revision>0</cp:revision>
  <dcterms:created xsi:type="dcterms:W3CDTF">2026-10-26T23:04:30Z</dcterms:created>
  <dcterms:modified xsi:type="dcterms:W3CDTF">2026-10-29T17:24:02Z</dcterms:modified>
  <dc:language>en-US</dc:language>
</cp:coreProperties>
</file>