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ная таблица оценок" sheetId="1" state="visible" r:id="rId3"/>
    <sheet name="Обоснование и сводка" sheetId="2" state="visible" r:id="rId4"/>
    <sheet name="Легенда" sheetId="3" state="visible" r:id="rId5"/>
  </sheets>
  <definedNames>
    <definedName function="false" hidden="false" localSheetId="0" name="_xlnm.Print_Titles" vbProcedure="false">'Сводная таблица оценок'!$5:$5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<sst xmlns="http://schemas.openxmlformats.org/spreadsheetml/2006/main" count="236" uniqueCount="196">
  <si>
    <t xml:space="preserve">Сводная таблица оценок по пакетам работ ИСР проекта «Stud Book»</t>
  </si>
  <si>
    <t xml:space="preserve">Трёхточечная оценка трудоёмкости (PERT), стоимость, предшественницы. Уровень детализации — пакеты работ (листовые узлы ИСР). Дробление до задач не производится.</t>
  </si>
  <si>
    <t xml:space="preserve">Формула ожидаемой трудоёмкости E = (O + 4M + P) / 6; σ = (P − O) / 6. Стоимость = E × средняя ставка 55 USD/ч (из предварительного расчёта устава п. 3.2). Буфер проекта 10% на риски заложен в общую стоимость (п. 3.2 устава).</t>
  </si>
  <si>
    <t xml:space="preserve">№</t>
  </si>
  <si>
    <t xml:space="preserve">Пакет работ</t>
  </si>
  <si>
    <t xml:space="preserve">O (опт.), ч</t>
  </si>
  <si>
    <t xml:space="preserve">M (вероят.), ч</t>
  </si>
  <si>
    <t xml:space="preserve">P (песс.), ч</t>
  </si>
  <si>
    <t xml:space="preserve">E (ожид.), ч</t>
  </si>
  <si>
    <t xml:space="preserve">σ, ч</t>
  </si>
  <si>
    <t xml:space="preserve">Стоимость, USD</t>
  </si>
  <si>
    <t xml:space="preserve">Предшественницы</t>
  </si>
  <si>
    <t xml:space="preserve">Веха / срок</t>
  </si>
  <si>
    <t xml:space="preserve">Приоритет</t>
  </si>
  <si>
    <t xml:space="preserve">Обоснование оценки и буферы</t>
  </si>
  <si>
    <t xml:space="preserve">1.1</t>
  </si>
  <si>
    <t xml:space="preserve">Инициация проекта</t>
  </si>
  <si>
    <t xml:space="preserve">—</t>
  </si>
  <si>
    <t xml:space="preserve">Фаза 2 (03.10.2026)</t>
  </si>
  <si>
    <t xml:space="preserve">Must</t>
  </si>
  <si>
    <t xml:space="preserve">Уже выполнено к моменту базового плана. Оценка по факту + небольшой буфер на доработки устава и реестра стейкхолдеров. Низкая неопределённость.</t>
  </si>
  <si>
    <t xml:space="preserve">1.2</t>
  </si>
  <si>
    <t xml:space="preserve">Планирование проекта</t>
  </si>
  <si>
    <t xml:space="preserve">Фазы 3–4 (до 31.10.2026), далее перед итерациями</t>
  </si>
  <si>
    <t xml:space="preserve">ИСР, оценки, PERT, расписание, реестр рисков, story map, бэклог. Средняя неопределённость из-за уточнения требований. Буфер в P на итеративное планирование.</t>
  </si>
  <si>
    <t xml:space="preserve">1.3</t>
  </si>
  <si>
    <t xml:space="preserve">Мониторинг и контроль</t>
  </si>
  <si>
    <t xml:space="preserve">весь проект</t>
  </si>
  <si>
    <t xml:space="preserve">Еженедельные синхронизации, EV-контроль, риски, изменения, отчётность. Растянута на весь срок. O — минимум при стабильном процессе, P — при частых изменениях. Буфер ~15%.</t>
  </si>
  <si>
    <t xml:space="preserve">1.4</t>
  </si>
  <si>
    <t xml:space="preserve">Закрытие проекта</t>
  </si>
  <si>
    <t xml:space="preserve">1.3, 6.3</t>
  </si>
  <si>
    <t xml:space="preserve">26–31.12.2026</t>
  </si>
  <si>
    <t xml:space="preserve">Итоговый отчёт, архив, проверка бюджета. Низкая сложность. Буфер на возможные замечания после В4.</t>
  </si>
  <si>
    <t xml:space="preserve">2.1</t>
  </si>
  <si>
    <t xml:space="preserve">Сбор и анализ требований</t>
  </si>
  <si>
    <t xml:space="preserve">Фазы 2–4, далее по итерациям</t>
  </si>
  <si>
    <t xml:space="preserve">Интервью, MoSCoW, матрица требований, уточнения после демо. Высокая неопределённость (Р1). P учитывает несколько раундов уточнений.</t>
  </si>
  <si>
    <t xml:space="preserve">2.2</t>
  </si>
  <si>
    <t xml:space="preserve">Проектирование архитектуры и базы данных</t>
  </si>
  <si>
    <t xml:space="preserve">нулевой спринт (до 31.10.2026), далее по итерациям</t>
  </si>
  <si>
    <t xml:space="preserve">Клиент/сервер/заглушки, модель данных (лошади, родословные, размещение, заявки, счета), роли. Средняя сложность. Буфер на итеративные уточнения схемы.</t>
  </si>
  <si>
    <t xml:space="preserve">2.3</t>
  </si>
  <si>
    <t xml:space="preserve">Проектирование пользовательского интерфейса</t>
  </si>
  <si>
    <t xml:space="preserve">2.1, 2.2</t>
  </si>
  <si>
    <t xml:space="preserve">стиль — В1, экраны — перед итерацией</t>
  </si>
  <si>
    <t xml:space="preserve">Карта экранов, стиль «племенной книги», 3–5 референсов, адаптив, англ. язык. Согласование с заказчиком. Буфер на итерации дизайна и правки.</t>
  </si>
  <si>
    <t xml:space="preserve">2.4</t>
  </si>
  <si>
    <t xml:space="preserve">Подготовка среды и инструментов</t>
  </si>
  <si>
    <t xml:space="preserve">нулевой спринт (до 31.10.2026)</t>
  </si>
  <si>
    <t xml:space="preserve">GitHub, Issues/Projects, Figma, каркас (клиент+сервер+БД), демо-стенд. Относительно стандартно. Буфер на настройку CI и доступы.</t>
  </si>
  <si>
    <t xml:space="preserve">2.5</t>
  </si>
  <si>
    <t xml:space="preserve">Подготовка демонстрационных данных</t>
  </si>
  <si>
    <t xml:space="preserve">2.2, 2.4</t>
  </si>
  <si>
    <t xml:space="preserve">v1 — В1, далее до В4</t>
  </si>
  <si>
    <t xml:space="preserve">≥15 лошадей, 6 клиентов, 15 случек/заказов, 10 счетов, 25 размещений, контрольные пары. Итеративное пополнение. Буфер на соответствие критерию 14.</t>
  </si>
  <si>
    <t xml:space="preserve">3.1</t>
  </si>
  <si>
    <t xml:space="preserve">Реестр лошадей и карточка лошади</t>
  </si>
  <si>
    <t xml:space="preserve">2.2, 2.3, 2.4, 2.5</t>
  </si>
  <si>
    <t xml:space="preserve">В1</t>
  </si>
  <si>
    <t xml:space="preserve">Реестр 3 категорий, карточка с родословной ≥2 поколений. Клиент + сервер. Ключевой модуль. Средне-высокая сложность UI+API+БД. Буфер на согласование полей с ассоциацией (Р4).</t>
  </si>
  <si>
    <t xml:space="preserve">3.2</t>
  </si>
  <si>
    <t xml:space="preserve">Размещение и перемещения</t>
  </si>
  <si>
    <t xml:space="preserve">Прибытие/отъезд, денник/загон, откуда. Зависит от реестра. Средняя сложность. Буфер на связанные записи перемещений.</t>
  </si>
  <si>
    <t xml:space="preserve">3.3</t>
  </si>
  <si>
    <t xml:space="preserve">Ввод записей о состоянии и происшествиях</t>
  </si>
  <si>
    <t xml:space="preserve">3.1, 2.3</t>
  </si>
  <si>
    <t xml:space="preserve">В2</t>
  </si>
  <si>
    <t xml:space="preserve">Простая форма ≤7 полей, ≤3 шагов. Низкая-средняя сложность. Буфер на UX-простоту (Т-15).</t>
  </si>
  <si>
    <t xml:space="preserve">3.4</t>
  </si>
  <si>
    <t xml:space="preserve">Справка «История жеребца»</t>
  </si>
  <si>
    <t xml:space="preserve">3.1, 3.3, 2.5</t>
  </si>
  <si>
    <t xml:space="preserve">Число случек, происшествия, состояние. ≤3 перехода, ≤5 мин. Ядро продукта. Буфер на производительность сборки справки.</t>
  </si>
  <si>
    <t xml:space="preserve">3.5</t>
  </si>
  <si>
    <t xml:space="preserve">Справка «Перемещения и контакты»</t>
  </si>
  <si>
    <t xml:space="preserve">3.2, 3.3, 2.5</t>
  </si>
  <si>
    <t xml:space="preserve">За период: кто был, откуда, контакты (А-7). Ядро. Буфер на определение «контакта» и производительность.</t>
  </si>
  <si>
    <t xml:space="preserve">4.1</t>
  </si>
  <si>
    <t xml:space="preserve">Формализация правил совместимости</t>
  </si>
  <si>
    <t xml:space="preserve">до 14.11.2026</t>
  </si>
  <si>
    <t xml:space="preserve">Оформление и согласование таблицы от заказчика/ветеринара (А-9). Зависит от внешних данных. Высокий риск задержки (Р2). P включает рабочий набор команды.</t>
  </si>
  <si>
    <t xml:space="preserve">4.2</t>
  </si>
  <si>
    <t xml:space="preserve">Проверка совместимости пар</t>
  </si>
  <si>
    <t xml:space="preserve">4.1, 3.1, 2.2</t>
  </si>
  <si>
    <t xml:space="preserve">В3</t>
  </si>
  <si>
    <t xml:space="preserve">≥3 правил с объяснением причины. Зависит от таблицы правил. Средне-высокая логика. Буфер на тестирование контрольных пар.</t>
  </si>
  <si>
    <t xml:space="preserve">4.3</t>
  </si>
  <si>
    <t xml:space="preserve">Очередь и календарь жеребцов</t>
  </si>
  <si>
    <t xml:space="preserve">3.1, 2.2, 2.3</t>
  </si>
  <si>
    <t xml:space="preserve">Should</t>
  </si>
  <si>
    <t xml:space="preserve">Очередь + календарь ≥3 жеребцов, два типа услуги. Средне-высокая сложность UI+логика. Буфер на календарную логику.</t>
  </si>
  <si>
    <t xml:space="preserve">5.1</t>
  </si>
  <si>
    <t xml:space="preserve">Кабинет клиента и заявки</t>
  </si>
  <si>
    <t xml:space="preserve">2.2, 2.3, 3.1</t>
  </si>
  <si>
    <t xml:space="preserve">Подача заявки без приезда, статус, история. Роль клиента. Средняя сложность. Буфер на сценарии удалённых клиентов.</t>
  </si>
  <si>
    <t xml:space="preserve">5.2</t>
  </si>
  <si>
    <t xml:space="preserve">Заказ семени с доставкой</t>
  </si>
  <si>
    <t xml:space="preserve">5.1, 4.3</t>
  </si>
  <si>
    <t xml:space="preserve">Адрес и статус текстом (А-4). Расширение заявки. Низкая-средняя. Буфер минимальный.</t>
  </si>
  <si>
    <t xml:space="preserve">5.3</t>
  </si>
  <si>
    <t xml:space="preserve">Счета и платежи</t>
  </si>
  <si>
    <t xml:space="preserve">5.1, 4.3, 3.1</t>
  </si>
  <si>
    <t xml:space="preserve">В4</t>
  </si>
  <si>
    <t xml:space="preserve">Формирование счёта одним действием, статусы, платёж-заглушка. Средняя. Буфер на финансовые сценарии Тэмми.</t>
  </si>
  <si>
    <t xml:space="preserve">5.4</t>
  </si>
  <si>
    <t xml:space="preserve">Отчёты и напоминания (Could)</t>
  </si>
  <si>
    <t xml:space="preserve">3.1, 4.3, 5.3</t>
  </si>
  <si>
    <t xml:space="preserve">В4 (по возможности)</t>
  </si>
  <si>
    <t xml:space="preserve">Could</t>
  </si>
  <si>
    <t xml:space="preserve">Загрузка жеребцов, финсводка, напоминание «проверь запас». Приоритет Could — урезается первым. Оценка с буфером на возможное исключение.</t>
  </si>
  <si>
    <t xml:space="preserve">6.1</t>
  </si>
  <si>
    <t xml:space="preserve">Интеграция внешних сервисов (заглушки)</t>
  </si>
  <si>
    <t xml:space="preserve">В2–В4 по мере готовности</t>
  </si>
  <si>
    <t xml:space="preserve">Must/Should</t>
  </si>
  <si>
    <t xml:space="preserve">5 заглушек: платежи, СМС/почта, породная ассоциация, доставка, выгрузка. Каждая отдельно. Средняя. Буфер на критерии приёмки каждой.</t>
  </si>
  <si>
    <t xml:space="preserve">6.2</t>
  </si>
  <si>
    <t xml:space="preserve">Тестирование и исправление дефектов</t>
  </si>
  <si>
    <t xml:space="preserve">3.1–5.3 (по итерациям)</t>
  </si>
  <si>
    <t xml:space="preserve">В1–В4</t>
  </si>
  <si>
    <t xml:space="preserve">Тест-сценарии, чек-лист, сквозной сценарий 2 ролей, фиксы. Растянуто. Высокая неопределённость дефектов. Буфер ~20%.</t>
  </si>
  <si>
    <t xml:space="preserve">6.3</t>
  </si>
  <si>
    <t xml:space="preserve">Демонстрации и приёмка</t>
  </si>
  <si>
    <t xml:space="preserve">6.2 (по итерациям)</t>
  </si>
  <si>
    <t xml:space="preserve">14.11, 28.11, 12.12, 26.12</t>
  </si>
  <si>
    <t xml:space="preserve">Подготовка демо, фиксация замечаний, доработки, финальная приёмка. 4 демо. Буфер на досдачу до 31.12.</t>
  </si>
  <si>
    <t xml:space="preserve">6.4</t>
  </si>
  <si>
    <t xml:space="preserve">Документация и приёмочные материалы</t>
  </si>
  <si>
    <t xml:space="preserve">Краткое руководство пользователя, чек-лист, приёмочные материалы. Средняя. Буфер на актуализацию после финальных правок.</t>
  </si>
  <si>
    <t xml:space="preserve">ИТОГО по всем пакетам</t>
  </si>
  <si>
    <t xml:space="preserve">Пояснения к методике оценки и буферам</t>
  </si>
  <si>
    <t xml:space="preserve">1. Метод: трёхточечная оценка PERT (Program Evaluation and Review Technique). Для каждого пакета работ заданы три оценки трудоёмкости в человеко-часах:</t>
  </si>
  <si>
    <t xml:space="preserve">   • O (Optimistic) — оптимистичная: всё идёт идеально, ни один риск не реализовался, минимально возможные затраты.</t>
  </si>
  <si>
    <t xml:space="preserve">   • M (Most likely) — наиболее вероятная: реалистичный сценарий при обычных условиях.</t>
  </si>
  <si>
    <t xml:space="preserve">   • P (Pessimistic) — пессимистичная: реализовались все разумные риски, максимальные затраты.</t>
  </si>
  <si>
    <t xml:space="preserve">2. Ожидаемая трудоёмкость E = (O + 4×M + P) / 6 — взвешенное среднее (бета-распределение).</t>
  </si>
  <si>
    <t xml:space="preserve">3. Стандартное отклонение σ = (P − O) / 6 — мера неопределённости пакета. Чем больше разброс O–P, тем выше неопределённость.</t>
  </si>
  <si>
    <t xml:space="preserve">4. Стоимость пакета = E × 55 USD/ч. Средняя ставка взята из предварительного расчёта устава (п. 3.2): итого 44 400 USD на 810 ч → ~54,8 USD/ч, округлено до 55.</t>
  </si>
  <si>
    <t xml:space="preserve">5. Буферы и резервы:</t>
  </si>
  <si>
    <t xml:space="preserve">   • Внутри оценок: пессимистичная оценка P уже содержит буфер на типичные риски пакета (уточнение требований, дефекты, согласования).</t>
  </si>
  <si>
    <t xml:space="preserve">   • Проектный резерв на риски: 10% от трудозатрат (4 440 USD) — заложен в уставе отдельно и не включён в сумму столбца «Стоимость».</t>
  </si>
  <si>
    <t xml:space="preserve">   • Запас до потолка бюджета 50 000 USD: ~1 160 USD — только по согласованным изменениям.</t>
  </si>
  <si>
    <t xml:space="preserve">   • Для пакетов с высокой неопределённостью (требования, правила совместимости, тестирование) разброс O–P увеличен (коэффициент вариации выше).</t>
  </si>
  <si>
    <t xml:space="preserve">6. Предшественницы указаны на уровне логических зависимостей «finish-to-start». Параллельное выполнение возможно там, где нет прямой зависимости (например, 3.4 и 3.5 после общих предшественников).</t>
  </si>
  <si>
    <t xml:space="preserve">7. Пакет 5.4 (Could) при нехватке ресурса урезается первым (п. 3.3 устава). Его исключение снижает итоговую трудоёмкость примерно на 20–22 ч.</t>
  </si>
  <si>
    <t xml:space="preserve">8. Суммарная плановая трудоёмкость E сверяется с фондом рабочего времени команды (54 ч/нед × ~15 нед = 810 ч). Полученная длительность — с оставшимся временем до 26.12.2026.</t>
  </si>
  <si>
    <t xml:space="preserve">9. Оценки выполнены экспертным методом на основе состава поставок устава (п. 2.1), критериев приёмки (п. 2.4) и опыта аналогичных учебных проектов разработки веб-приложений.</t>
  </si>
  <si>
    <t xml:space="preserve">10. Дробление пакетов до отдельных задач на данном этапе не производилось (требование задания). Детализация — на этапе планирования итераций.</t>
  </si>
  <si>
    <t xml:space="preserve">Обоснование подхода к оценке и сверка с ограничениями проекта</t>
  </si>
  <si>
    <t xml:space="preserve">1. Источники и допущения</t>
  </si>
  <si>
    <t xml:space="preserve">• Фонд рабочего времени команды: 54 ч/нед × 15 расчётных недель = 810 человеко-часов (устав п. 3.2, 5.5).</t>
  </si>
  <si>
    <t xml:space="preserve">• Средняя ставка: 55 USD/ч (расчёт по таблице ролей устава).</t>
  </si>
  <si>
    <t xml:space="preserve">• Базовый бюджет: 50 000 USD (потолок). Предварительная стоимость трудозатрат 44 400 + резерв 10% = 48 840 USD.</t>
  </si>
  <si>
    <t xml:space="preserve">• Даты: начало 07.09.2026, финальная приёмка 26.12.2026, резерв на досдачу до 31.12.2026.</t>
  </si>
  <si>
    <t xml:space="preserve">• Итерации по 2 недели, вехи В1–В4 привязаны к парам.</t>
  </si>
  <si>
    <t xml:space="preserve">• Приоритеты MoSCoW из устава: Must не урезаются; Could (5.4) — первый кандидат на сокращение.</t>
  </si>
  <si>
    <t xml:space="preserve">• Внешние сервисы — только заглушки (А-1…А-5). Нет реальных интеграций, мобильного приложения, миграции данных.</t>
  </si>
  <si>
    <t xml:space="preserve">2. Как формировались оценки O / M / P</t>
  </si>
  <si>
    <t xml:space="preserve">• Основа — состав поставок п. 2.1 устава и критерии чек-листа п. 2.4.</t>
  </si>
  <si>
    <t xml:space="preserve">• Для каждого пакета оценивался объём: количество экранов/сущностей, сложность логики, наличие согласований, зависимость от внешних данных.</t>
  </si>
  <si>
    <t xml:space="preserve">• O: «идеальный» сценарий (требования стабильны, нет переделок, опытный исполнитель).</t>
  </si>
  <si>
    <t xml:space="preserve">• M: типичный учебный проект с 1–2 раундами правок после демо/ревью.</t>
  </si>
  <si>
    <t xml:space="preserve">• P: реализовались риски из реестра (Р1 — меняющиеся требования, Р2 — поздние правила, Р7 — нехватка времени команды, Р9 — данные ветеринара и т.д.).</t>
  </si>
  <si>
    <t xml:space="preserve">• Разброс (P−O) увеличен для пакетов с высокой неопределённостью: 2.1, 4.1, 6.2.</t>
  </si>
  <si>
    <t xml:space="preserve">• Оценки даны в человеко-часах команды (не календарных). Параллелизм учитывается позже в сетевом графике и расписании.</t>
  </si>
  <si>
    <t xml:space="preserve">3. Сверка с фондом времени и бюджетом (после пересчёта формул)</t>
  </si>
  <si>
    <t xml:space="preserve">После открытия файла в Excel/LibreOffice формулы пересчитаются. Ориентировочно:</t>
  </si>
  <si>
    <t xml:space="preserve">• Сумма E (ожидаемая трудоёмкость) ≈ 720–760 ч (в зависимости от точных значений).</t>
  </si>
  <si>
    <t xml:space="preserve">• Это укладывается в фонд 810 ч с запасом ~6–11% (на непредвиденное и Could).</t>
  </si>
  <si>
    <t xml:space="preserve">• Сумма стоимостей ≈ 40 000–42 000 USD + резерв 10% ≈ 44–46 тыс. USD — внутри потолка 50 000.</t>
  </si>
  <si>
    <t xml:space="preserve">• Если после пересчёта сумма E существенно превысит 810 ч — рекомендуется урезать 5.4 (Could) и/или снизить P у наименее критичных пакетов.</t>
  </si>
  <si>
    <t xml:space="preserve">4. Рекомендации для следующих шагов (задания 2–3)</t>
  </si>
  <si>
    <t xml:space="preserve">• Сетевой график (PERT): использовать предшественниц из столбца I. Рассчитать ES/EF/LS/LF, резервы.</t>
  </si>
  <si>
    <t xml:space="preserve">• Вероятность уложиться в срок: по σ критического пути (формула z = (Tплан − E) / σ_cp).</t>
  </si>
  <si>
    <t xml:space="preserve">• Расписание / Гант: натянуть на календарь с учётом 5–7 человек и 54 ч/нед, разреть ресурсные конфликты.</t>
  </si>
  <si>
    <t xml:space="preserve">• Вехами отметить концы итераций: В1 14.11, В2 28.11, В3 12.12, В4 26.12.</t>
  </si>
  <si>
    <t xml:space="preserve">Легенда и условные обозначения</t>
  </si>
  <si>
    <t xml:space="preserve">Цвета ячеек</t>
  </si>
  <si>
    <t xml:space="preserve">Жёлтый фон</t>
  </si>
  <si>
    <t xml:space="preserve">Входные данные (O, M, P) — можно менять</t>
  </si>
  <si>
    <t xml:space="preserve">Зелёный фон</t>
  </si>
  <si>
    <t xml:space="preserve">Рассчитанные значения (E, σ, Стоимость)</t>
  </si>
  <si>
    <t xml:space="preserve">Оранжевый</t>
  </si>
  <si>
    <t xml:space="preserve">Пакет приоритета Could (может быть урезан)</t>
  </si>
  <si>
    <t xml:space="preserve">Тёмно-синий заголовок</t>
  </si>
  <si>
    <t xml:space="preserve">Заголовки таблицы</t>
  </si>
  <si>
    <t xml:space="preserve">Формулы</t>
  </si>
  <si>
    <t xml:space="preserve">E (ожидаемая)</t>
  </si>
  <si>
    <t xml:space="preserve">(O + 4×M + P) / 6</t>
  </si>
  <si>
    <t xml:space="preserve">σ (ст. отклонение)</t>
  </si>
  <si>
    <t xml:space="preserve">(P − O) / 6</t>
  </si>
  <si>
    <t xml:space="preserve">Стоимость</t>
  </si>
  <si>
    <t xml:space="preserve">E × 55 USD/ч</t>
  </si>
  <si>
    <t xml:space="preserve">Приоритеты (MoSCoW)</t>
  </si>
  <si>
    <t xml:space="preserve">Без этого приёмка невозможна</t>
  </si>
  <si>
    <t xml:space="preserve">Важно, но при критической нехватке можно обсуждать</t>
  </si>
  <si>
    <t xml:space="preserve">По возможности; урезается первым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</si>
</sst>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D6DC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12"/>
    <col collapsed="false" customWidth="true" hidden="false" outlineLevel="0" max="12" min="12" style="0" width="5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4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34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45" hidden="false" customHeight="true" outlineLevel="0" collapsed="false">
      <c r="A6" s="5" t="s">
        <v>15</v>
      </c>
      <c r="B6" s="6" t="s">
        <v>16</v>
      </c>
      <c r="C6" s="7" t="n">
        <v>12</v>
      </c>
      <c r="D6" s="7" t="n">
        <v>18</v>
      </c>
      <c r="E6" s="7" t="n">
        <v>28</v>
      </c>
      <c r="F6" s="8" t="n">
        <f aca="false">(C6+4*D6+E6)/6</f>
        <v>18.6666666666667</v>
      </c>
      <c r="G6" s="9" t="n">
        <f aca="false">(E6-C6)/6</f>
        <v>2.66666666666667</v>
      </c>
      <c r="H6" s="10" t="n">
        <f aca="false">F6*55</f>
        <v>1026.66666666667</v>
      </c>
      <c r="I6" s="6" t="s">
        <v>17</v>
      </c>
      <c r="J6" s="11" t="s">
        <v>18</v>
      </c>
      <c r="K6" s="5" t="s">
        <v>19</v>
      </c>
      <c r="L6" s="11" t="s">
        <v>20</v>
      </c>
    </row>
    <row r="7" customFormat="false" ht="45" hidden="false" customHeight="true" outlineLevel="0" collapsed="false">
      <c r="A7" s="5" t="s">
        <v>21</v>
      </c>
      <c r="B7" s="6" t="s">
        <v>22</v>
      </c>
      <c r="C7" s="7" t="n">
        <v>20</v>
      </c>
      <c r="D7" s="7" t="n">
        <v>32</v>
      </c>
      <c r="E7" s="7" t="n">
        <v>48</v>
      </c>
      <c r="F7" s="8" t="n">
        <f aca="false">(C7+4*D7+E7)/6</f>
        <v>32.6666666666667</v>
      </c>
      <c r="G7" s="9" t="n">
        <f aca="false">(E7-C7)/6</f>
        <v>4.66666666666667</v>
      </c>
      <c r="H7" s="10" t="n">
        <f aca="false">F7*55</f>
        <v>1796.66666666667</v>
      </c>
      <c r="I7" s="6" t="s">
        <v>15</v>
      </c>
      <c r="J7" s="11" t="s">
        <v>23</v>
      </c>
      <c r="K7" s="5" t="s">
        <v>19</v>
      </c>
      <c r="L7" s="11" t="s">
        <v>24</v>
      </c>
    </row>
    <row r="8" customFormat="false" ht="45" hidden="false" customHeight="true" outlineLevel="0" collapsed="false">
      <c r="A8" s="5" t="s">
        <v>25</v>
      </c>
      <c r="B8" s="6" t="s">
        <v>26</v>
      </c>
      <c r="C8" s="7" t="n">
        <v>40</v>
      </c>
      <c r="D8" s="7" t="n">
        <v>60</v>
      </c>
      <c r="E8" s="7" t="n">
        <v>90</v>
      </c>
      <c r="F8" s="8" t="n">
        <f aca="false">(C8+4*D8+E8)/6</f>
        <v>61.6666666666667</v>
      </c>
      <c r="G8" s="9" t="n">
        <f aca="false">(E8-C8)/6</f>
        <v>8.33333333333333</v>
      </c>
      <c r="H8" s="10" t="n">
        <f aca="false">F8*55</f>
        <v>3391.66666666667</v>
      </c>
      <c r="I8" s="6" t="s">
        <v>21</v>
      </c>
      <c r="J8" s="11" t="s">
        <v>27</v>
      </c>
      <c r="K8" s="5" t="s">
        <v>19</v>
      </c>
      <c r="L8" s="11" t="s">
        <v>28</v>
      </c>
    </row>
    <row r="9" customFormat="false" ht="45" hidden="false" customHeight="true" outlineLevel="0" collapsed="false">
      <c r="A9" s="5" t="s">
        <v>29</v>
      </c>
      <c r="B9" s="6" t="s">
        <v>30</v>
      </c>
      <c r="C9" s="7" t="n">
        <v>8</v>
      </c>
      <c r="D9" s="7" t="n">
        <v>12</v>
      </c>
      <c r="E9" s="7" t="n">
        <v>20</v>
      </c>
      <c r="F9" s="8" t="n">
        <f aca="false">(C9+4*D9+E9)/6</f>
        <v>12.6666666666667</v>
      </c>
      <c r="G9" s="9" t="n">
        <f aca="false">(E9-C9)/6</f>
        <v>2</v>
      </c>
      <c r="H9" s="10" t="n">
        <f aca="false">F9*55</f>
        <v>696.666666666667</v>
      </c>
      <c r="I9" s="6" t="s">
        <v>31</v>
      </c>
      <c r="J9" s="11" t="s">
        <v>32</v>
      </c>
      <c r="K9" s="5" t="s">
        <v>19</v>
      </c>
      <c r="L9" s="11" t="s">
        <v>33</v>
      </c>
    </row>
    <row r="10" customFormat="false" ht="45" hidden="false" customHeight="true" outlineLevel="0" collapsed="false">
      <c r="A10" s="5" t="s">
        <v>34</v>
      </c>
      <c r="B10" s="6" t="s">
        <v>35</v>
      </c>
      <c r="C10" s="7" t="n">
        <v>16</v>
      </c>
      <c r="D10" s="7" t="n">
        <v>28</v>
      </c>
      <c r="E10" s="7" t="n">
        <v>45</v>
      </c>
      <c r="F10" s="8" t="n">
        <f aca="false">(C10+4*D10+E10)/6</f>
        <v>28.8333333333333</v>
      </c>
      <c r="G10" s="9" t="n">
        <f aca="false">(E10-C10)/6</f>
        <v>4.83333333333333</v>
      </c>
      <c r="H10" s="10" t="n">
        <f aca="false">F10*55</f>
        <v>1585.83333333333</v>
      </c>
      <c r="I10" s="6" t="s">
        <v>15</v>
      </c>
      <c r="J10" s="11" t="s">
        <v>36</v>
      </c>
      <c r="K10" s="5" t="s">
        <v>19</v>
      </c>
      <c r="L10" s="11" t="s">
        <v>37</v>
      </c>
    </row>
    <row r="11" customFormat="false" ht="45" hidden="false" customHeight="true" outlineLevel="0" collapsed="false">
      <c r="A11" s="5" t="s">
        <v>38</v>
      </c>
      <c r="B11" s="6" t="s">
        <v>39</v>
      </c>
      <c r="C11" s="7" t="n">
        <v>18</v>
      </c>
      <c r="D11" s="7" t="n">
        <v>30</v>
      </c>
      <c r="E11" s="7" t="n">
        <v>48</v>
      </c>
      <c r="F11" s="8" t="n">
        <f aca="false">(C11+4*D11+E11)/6</f>
        <v>31</v>
      </c>
      <c r="G11" s="9" t="n">
        <f aca="false">(E11-C11)/6</f>
        <v>5</v>
      </c>
      <c r="H11" s="10" t="n">
        <f aca="false">F11*55</f>
        <v>1705</v>
      </c>
      <c r="I11" s="6" t="s">
        <v>34</v>
      </c>
      <c r="J11" s="11" t="s">
        <v>40</v>
      </c>
      <c r="K11" s="5" t="s">
        <v>19</v>
      </c>
      <c r="L11" s="11" t="s">
        <v>41</v>
      </c>
    </row>
    <row r="12" customFormat="false" ht="45" hidden="false" customHeight="true" outlineLevel="0" collapsed="false">
      <c r="A12" s="5" t="s">
        <v>42</v>
      </c>
      <c r="B12" s="6" t="s">
        <v>43</v>
      </c>
      <c r="C12" s="7" t="n">
        <v>20</v>
      </c>
      <c r="D12" s="7" t="n">
        <v>35</v>
      </c>
      <c r="E12" s="7" t="n">
        <v>55</v>
      </c>
      <c r="F12" s="8" t="n">
        <f aca="false">(C12+4*D12+E12)/6</f>
        <v>35.8333333333333</v>
      </c>
      <c r="G12" s="9" t="n">
        <f aca="false">(E12-C12)/6</f>
        <v>5.83333333333333</v>
      </c>
      <c r="H12" s="10" t="n">
        <f aca="false">F12*55</f>
        <v>1970.83333333333</v>
      </c>
      <c r="I12" s="6" t="s">
        <v>44</v>
      </c>
      <c r="J12" s="11" t="s">
        <v>45</v>
      </c>
      <c r="K12" s="5" t="s">
        <v>19</v>
      </c>
      <c r="L12" s="11" t="s">
        <v>46</v>
      </c>
    </row>
    <row r="13" customFormat="false" ht="45" hidden="false" customHeight="true" outlineLevel="0" collapsed="false">
      <c r="A13" s="5" t="s">
        <v>47</v>
      </c>
      <c r="B13" s="6" t="s">
        <v>48</v>
      </c>
      <c r="C13" s="7" t="n">
        <v>10</v>
      </c>
      <c r="D13" s="7" t="n">
        <v>16</v>
      </c>
      <c r="E13" s="7" t="n">
        <v>26</v>
      </c>
      <c r="F13" s="8" t="n">
        <f aca="false">(C13+4*D13+E13)/6</f>
        <v>16.6666666666667</v>
      </c>
      <c r="G13" s="9" t="n">
        <f aca="false">(E13-C13)/6</f>
        <v>2.66666666666667</v>
      </c>
      <c r="H13" s="10" t="n">
        <f aca="false">F13*55</f>
        <v>916.666666666667</v>
      </c>
      <c r="I13" s="6" t="s">
        <v>21</v>
      </c>
      <c r="J13" s="11" t="s">
        <v>49</v>
      </c>
      <c r="K13" s="5" t="s">
        <v>19</v>
      </c>
      <c r="L13" s="11" t="s">
        <v>50</v>
      </c>
    </row>
    <row r="14" customFormat="false" ht="45" hidden="false" customHeight="true" outlineLevel="0" collapsed="false">
      <c r="A14" s="5" t="s">
        <v>51</v>
      </c>
      <c r="B14" s="6" t="s">
        <v>52</v>
      </c>
      <c r="C14" s="7" t="n">
        <v>12</v>
      </c>
      <c r="D14" s="7" t="n">
        <v>22</v>
      </c>
      <c r="E14" s="7" t="n">
        <v>36</v>
      </c>
      <c r="F14" s="8" t="n">
        <f aca="false">(C14+4*D14+E14)/6</f>
        <v>22.6666666666667</v>
      </c>
      <c r="G14" s="9" t="n">
        <f aca="false">(E14-C14)/6</f>
        <v>4</v>
      </c>
      <c r="H14" s="10" t="n">
        <f aca="false">F14*55</f>
        <v>1246.66666666667</v>
      </c>
      <c r="I14" s="6" t="s">
        <v>53</v>
      </c>
      <c r="J14" s="11" t="s">
        <v>54</v>
      </c>
      <c r="K14" s="5" t="s">
        <v>19</v>
      </c>
      <c r="L14" s="11" t="s">
        <v>55</v>
      </c>
    </row>
    <row r="15" customFormat="false" ht="45" hidden="false" customHeight="true" outlineLevel="0" collapsed="false">
      <c r="A15" s="5" t="s">
        <v>56</v>
      </c>
      <c r="B15" s="6" t="s">
        <v>57</v>
      </c>
      <c r="C15" s="7" t="n">
        <v>28</v>
      </c>
      <c r="D15" s="7" t="n">
        <v>45</v>
      </c>
      <c r="E15" s="7" t="n">
        <v>70</v>
      </c>
      <c r="F15" s="8" t="n">
        <f aca="false">(C15+4*D15+E15)/6</f>
        <v>46.3333333333333</v>
      </c>
      <c r="G15" s="9" t="n">
        <f aca="false">(E15-C15)/6</f>
        <v>7</v>
      </c>
      <c r="H15" s="10" t="n">
        <f aca="false">F15*55</f>
        <v>2548.33333333333</v>
      </c>
      <c r="I15" s="6" t="s">
        <v>58</v>
      </c>
      <c r="J15" s="11" t="s">
        <v>59</v>
      </c>
      <c r="K15" s="5" t="s">
        <v>19</v>
      </c>
      <c r="L15" s="11" t="s">
        <v>60</v>
      </c>
    </row>
    <row r="16" customFormat="false" ht="45" hidden="false" customHeight="true" outlineLevel="0" collapsed="false">
      <c r="A16" s="5" t="s">
        <v>61</v>
      </c>
      <c r="B16" s="6" t="s">
        <v>62</v>
      </c>
      <c r="C16" s="7" t="n">
        <v>18</v>
      </c>
      <c r="D16" s="7" t="n">
        <v>30</v>
      </c>
      <c r="E16" s="7" t="n">
        <v>48</v>
      </c>
      <c r="F16" s="8" t="n">
        <f aca="false">(C16+4*D16+E16)/6</f>
        <v>31</v>
      </c>
      <c r="G16" s="9" t="n">
        <f aca="false">(E16-C16)/6</f>
        <v>5</v>
      </c>
      <c r="H16" s="10" t="n">
        <f aca="false">F16*55</f>
        <v>1705</v>
      </c>
      <c r="I16" s="6" t="s">
        <v>56</v>
      </c>
      <c r="J16" s="11" t="s">
        <v>59</v>
      </c>
      <c r="K16" s="5" t="s">
        <v>19</v>
      </c>
      <c r="L16" s="11" t="s">
        <v>63</v>
      </c>
    </row>
    <row r="17" customFormat="false" ht="45" hidden="false" customHeight="true" outlineLevel="0" collapsed="false">
      <c r="A17" s="5" t="s">
        <v>64</v>
      </c>
      <c r="B17" s="6" t="s">
        <v>65</v>
      </c>
      <c r="C17" s="7" t="n">
        <v>12</v>
      </c>
      <c r="D17" s="7" t="n">
        <v>20</v>
      </c>
      <c r="E17" s="7" t="n">
        <v>32</v>
      </c>
      <c r="F17" s="8" t="n">
        <f aca="false">(C17+4*D17+E17)/6</f>
        <v>20.6666666666667</v>
      </c>
      <c r="G17" s="9" t="n">
        <f aca="false">(E17-C17)/6</f>
        <v>3.33333333333333</v>
      </c>
      <c r="H17" s="10" t="n">
        <f aca="false">F17*55</f>
        <v>1136.66666666667</v>
      </c>
      <c r="I17" s="6" t="s">
        <v>66</v>
      </c>
      <c r="J17" s="11" t="s">
        <v>67</v>
      </c>
      <c r="K17" s="5" t="s">
        <v>19</v>
      </c>
      <c r="L17" s="11" t="s">
        <v>68</v>
      </c>
    </row>
    <row r="18" customFormat="false" ht="45" hidden="false" customHeight="true" outlineLevel="0" collapsed="false">
      <c r="A18" s="5" t="s">
        <v>69</v>
      </c>
      <c r="B18" s="6" t="s">
        <v>70</v>
      </c>
      <c r="C18" s="7" t="n">
        <v>16</v>
      </c>
      <c r="D18" s="7" t="n">
        <v>26</v>
      </c>
      <c r="E18" s="7" t="n">
        <v>42</v>
      </c>
      <c r="F18" s="8" t="n">
        <f aca="false">(C18+4*D18+E18)/6</f>
        <v>27</v>
      </c>
      <c r="G18" s="9" t="n">
        <f aca="false">(E18-C18)/6</f>
        <v>4.33333333333333</v>
      </c>
      <c r="H18" s="10" t="n">
        <f aca="false">F18*55</f>
        <v>1485</v>
      </c>
      <c r="I18" s="6" t="s">
        <v>71</v>
      </c>
      <c r="J18" s="11" t="s">
        <v>67</v>
      </c>
      <c r="K18" s="5" t="s">
        <v>19</v>
      </c>
      <c r="L18" s="11" t="s">
        <v>72</v>
      </c>
    </row>
    <row r="19" customFormat="false" ht="45" hidden="false" customHeight="true" outlineLevel="0" collapsed="false">
      <c r="A19" s="5" t="s">
        <v>73</v>
      </c>
      <c r="B19" s="6" t="s">
        <v>74</v>
      </c>
      <c r="C19" s="7" t="n">
        <v>16</v>
      </c>
      <c r="D19" s="7" t="n">
        <v>28</v>
      </c>
      <c r="E19" s="7" t="n">
        <v>45</v>
      </c>
      <c r="F19" s="8" t="n">
        <f aca="false">(C19+4*D19+E19)/6</f>
        <v>28.8333333333333</v>
      </c>
      <c r="G19" s="9" t="n">
        <f aca="false">(E19-C19)/6</f>
        <v>4.83333333333333</v>
      </c>
      <c r="H19" s="10" t="n">
        <f aca="false">F19*55</f>
        <v>1585.83333333333</v>
      </c>
      <c r="I19" s="6" t="s">
        <v>75</v>
      </c>
      <c r="J19" s="11" t="s">
        <v>67</v>
      </c>
      <c r="K19" s="5" t="s">
        <v>19</v>
      </c>
      <c r="L19" s="11" t="s">
        <v>76</v>
      </c>
    </row>
    <row r="20" customFormat="false" ht="45" hidden="false" customHeight="true" outlineLevel="0" collapsed="false">
      <c r="A20" s="5" t="s">
        <v>77</v>
      </c>
      <c r="B20" s="6" t="s">
        <v>78</v>
      </c>
      <c r="C20" s="7" t="n">
        <v>8</v>
      </c>
      <c r="D20" s="7" t="n">
        <v>14</v>
      </c>
      <c r="E20" s="7" t="n">
        <v>24</v>
      </c>
      <c r="F20" s="8" t="n">
        <f aca="false">(C20+4*D20+E20)/6</f>
        <v>14.6666666666667</v>
      </c>
      <c r="G20" s="9" t="n">
        <f aca="false">(E20-C20)/6</f>
        <v>2.66666666666667</v>
      </c>
      <c r="H20" s="10" t="n">
        <f aca="false">F20*55</f>
        <v>806.666666666667</v>
      </c>
      <c r="I20" s="6" t="s">
        <v>34</v>
      </c>
      <c r="J20" s="11" t="s">
        <v>79</v>
      </c>
      <c r="K20" s="5" t="s">
        <v>19</v>
      </c>
      <c r="L20" s="11" t="s">
        <v>80</v>
      </c>
    </row>
    <row r="21" customFormat="false" ht="45" hidden="false" customHeight="true" outlineLevel="0" collapsed="false">
      <c r="A21" s="5" t="s">
        <v>81</v>
      </c>
      <c r="B21" s="6" t="s">
        <v>82</v>
      </c>
      <c r="C21" s="7" t="n">
        <v>20</v>
      </c>
      <c r="D21" s="7" t="n">
        <v>35</v>
      </c>
      <c r="E21" s="7" t="n">
        <v>55</v>
      </c>
      <c r="F21" s="8" t="n">
        <f aca="false">(C21+4*D21+E21)/6</f>
        <v>35.8333333333333</v>
      </c>
      <c r="G21" s="9" t="n">
        <f aca="false">(E21-C21)/6</f>
        <v>5.83333333333333</v>
      </c>
      <c r="H21" s="10" t="n">
        <f aca="false">F21*55</f>
        <v>1970.83333333333</v>
      </c>
      <c r="I21" s="6" t="s">
        <v>83</v>
      </c>
      <c r="J21" s="11" t="s">
        <v>84</v>
      </c>
      <c r="K21" s="5" t="s">
        <v>19</v>
      </c>
      <c r="L21" s="11" t="s">
        <v>85</v>
      </c>
    </row>
    <row r="22" customFormat="false" ht="45" hidden="false" customHeight="true" outlineLevel="0" collapsed="false">
      <c r="A22" s="5" t="s">
        <v>86</v>
      </c>
      <c r="B22" s="6" t="s">
        <v>87</v>
      </c>
      <c r="C22" s="7" t="n">
        <v>22</v>
      </c>
      <c r="D22" s="7" t="n">
        <v>38</v>
      </c>
      <c r="E22" s="7" t="n">
        <v>60</v>
      </c>
      <c r="F22" s="8" t="n">
        <f aca="false">(C22+4*D22+E22)/6</f>
        <v>39</v>
      </c>
      <c r="G22" s="9" t="n">
        <f aca="false">(E22-C22)/6</f>
        <v>6.33333333333333</v>
      </c>
      <c r="H22" s="10" t="n">
        <f aca="false">F22*55</f>
        <v>2145</v>
      </c>
      <c r="I22" s="6" t="s">
        <v>88</v>
      </c>
      <c r="J22" s="11" t="s">
        <v>84</v>
      </c>
      <c r="K22" s="5" t="s">
        <v>89</v>
      </c>
      <c r="L22" s="11" t="s">
        <v>90</v>
      </c>
    </row>
    <row r="23" customFormat="false" ht="45" hidden="false" customHeight="true" outlineLevel="0" collapsed="false">
      <c r="A23" s="5" t="s">
        <v>91</v>
      </c>
      <c r="B23" s="6" t="s">
        <v>92</v>
      </c>
      <c r="C23" s="7" t="n">
        <v>20</v>
      </c>
      <c r="D23" s="7" t="n">
        <v>34</v>
      </c>
      <c r="E23" s="7" t="n">
        <v>52</v>
      </c>
      <c r="F23" s="8" t="n">
        <f aca="false">(C23+4*D23+E23)/6</f>
        <v>34.6666666666667</v>
      </c>
      <c r="G23" s="9" t="n">
        <f aca="false">(E23-C23)/6</f>
        <v>5.33333333333333</v>
      </c>
      <c r="H23" s="10" t="n">
        <f aca="false">F23*55</f>
        <v>1906.66666666667</v>
      </c>
      <c r="I23" s="6" t="s">
        <v>93</v>
      </c>
      <c r="J23" s="11" t="s">
        <v>84</v>
      </c>
      <c r="K23" s="5" t="s">
        <v>89</v>
      </c>
      <c r="L23" s="11" t="s">
        <v>94</v>
      </c>
    </row>
    <row r="24" customFormat="false" ht="45" hidden="false" customHeight="true" outlineLevel="0" collapsed="false">
      <c r="A24" s="5" t="s">
        <v>95</v>
      </c>
      <c r="B24" s="6" t="s">
        <v>96</v>
      </c>
      <c r="C24" s="7" t="n">
        <v>10</v>
      </c>
      <c r="D24" s="7" t="n">
        <v>16</v>
      </c>
      <c r="E24" s="7" t="n">
        <v>26</v>
      </c>
      <c r="F24" s="8" t="n">
        <f aca="false">(C24+4*D24+E24)/6</f>
        <v>16.6666666666667</v>
      </c>
      <c r="G24" s="9" t="n">
        <f aca="false">(E24-C24)/6</f>
        <v>2.66666666666667</v>
      </c>
      <c r="H24" s="10" t="n">
        <f aca="false">F24*55</f>
        <v>916.666666666667</v>
      </c>
      <c r="I24" s="6" t="s">
        <v>97</v>
      </c>
      <c r="J24" s="11" t="s">
        <v>84</v>
      </c>
      <c r="K24" s="5" t="s">
        <v>89</v>
      </c>
      <c r="L24" s="11" t="s">
        <v>98</v>
      </c>
    </row>
    <row r="25" customFormat="false" ht="45" hidden="false" customHeight="true" outlineLevel="0" collapsed="false">
      <c r="A25" s="5" t="s">
        <v>99</v>
      </c>
      <c r="B25" s="6" t="s">
        <v>100</v>
      </c>
      <c r="C25" s="7" t="n">
        <v>18</v>
      </c>
      <c r="D25" s="7" t="n">
        <v>30</v>
      </c>
      <c r="E25" s="7" t="n">
        <v>48</v>
      </c>
      <c r="F25" s="8" t="n">
        <f aca="false">(C25+4*D25+E25)/6</f>
        <v>31</v>
      </c>
      <c r="G25" s="9" t="n">
        <f aca="false">(E25-C25)/6</f>
        <v>5</v>
      </c>
      <c r="H25" s="10" t="n">
        <f aca="false">F25*55</f>
        <v>1705</v>
      </c>
      <c r="I25" s="6" t="s">
        <v>101</v>
      </c>
      <c r="J25" s="11" t="s">
        <v>102</v>
      </c>
      <c r="K25" s="5" t="s">
        <v>89</v>
      </c>
      <c r="L25" s="11" t="s">
        <v>103</v>
      </c>
    </row>
    <row r="26" customFormat="false" ht="45" hidden="false" customHeight="true" outlineLevel="0" collapsed="false">
      <c r="A26" s="5" t="s">
        <v>104</v>
      </c>
      <c r="B26" s="6" t="s">
        <v>105</v>
      </c>
      <c r="C26" s="7" t="n">
        <v>12</v>
      </c>
      <c r="D26" s="7" t="n">
        <v>20</v>
      </c>
      <c r="E26" s="7" t="n">
        <v>32</v>
      </c>
      <c r="F26" s="8" t="n">
        <f aca="false">(C26+4*D26+E26)/6</f>
        <v>20.6666666666667</v>
      </c>
      <c r="G26" s="9" t="n">
        <f aca="false">(E26-C26)/6</f>
        <v>3.33333333333333</v>
      </c>
      <c r="H26" s="10" t="n">
        <f aca="false">F26*55</f>
        <v>1136.66666666667</v>
      </c>
      <c r="I26" s="6" t="s">
        <v>106</v>
      </c>
      <c r="J26" s="11" t="s">
        <v>107</v>
      </c>
      <c r="K26" s="12" t="s">
        <v>108</v>
      </c>
      <c r="L26" s="11" t="s">
        <v>109</v>
      </c>
    </row>
    <row r="27" customFormat="false" ht="45" hidden="false" customHeight="true" outlineLevel="0" collapsed="false">
      <c r="A27" s="5" t="s">
        <v>110</v>
      </c>
      <c r="B27" s="6" t="s">
        <v>111</v>
      </c>
      <c r="C27" s="7" t="n">
        <v>16</v>
      </c>
      <c r="D27" s="7" t="n">
        <v>28</v>
      </c>
      <c r="E27" s="7" t="n">
        <v>45</v>
      </c>
      <c r="F27" s="8" t="n">
        <f aca="false">(C27+4*D27+E27)/6</f>
        <v>28.8333333333333</v>
      </c>
      <c r="G27" s="9" t="n">
        <f aca="false">(E27-C27)/6</f>
        <v>4.83333333333333</v>
      </c>
      <c r="H27" s="10" t="n">
        <f aca="false">F27*55</f>
        <v>1585.83333333333</v>
      </c>
      <c r="I27" s="6" t="s">
        <v>53</v>
      </c>
      <c r="J27" s="11" t="s">
        <v>112</v>
      </c>
      <c r="K27" s="5" t="s">
        <v>113</v>
      </c>
      <c r="L27" s="11" t="s">
        <v>114</v>
      </c>
    </row>
    <row r="28" customFormat="false" ht="45" hidden="false" customHeight="true" outlineLevel="0" collapsed="false">
      <c r="A28" s="5" t="s">
        <v>115</v>
      </c>
      <c r="B28" s="6" t="s">
        <v>116</v>
      </c>
      <c r="C28" s="7" t="n">
        <v>35</v>
      </c>
      <c r="D28" s="7" t="n">
        <v>55</v>
      </c>
      <c r="E28" s="7" t="n">
        <v>85</v>
      </c>
      <c r="F28" s="8" t="n">
        <f aca="false">(C28+4*D28+E28)/6</f>
        <v>56.6666666666667</v>
      </c>
      <c r="G28" s="9" t="n">
        <f aca="false">(E28-C28)/6</f>
        <v>8.33333333333333</v>
      </c>
      <c r="H28" s="10" t="n">
        <f aca="false">F28*55</f>
        <v>3116.66666666667</v>
      </c>
      <c r="I28" s="6" t="s">
        <v>117</v>
      </c>
      <c r="J28" s="11" t="s">
        <v>118</v>
      </c>
      <c r="K28" s="5" t="s">
        <v>19</v>
      </c>
      <c r="L28" s="11" t="s">
        <v>119</v>
      </c>
    </row>
    <row r="29" customFormat="false" ht="45" hidden="false" customHeight="true" outlineLevel="0" collapsed="false">
      <c r="A29" s="5" t="s">
        <v>120</v>
      </c>
      <c r="B29" s="6" t="s">
        <v>121</v>
      </c>
      <c r="C29" s="7" t="n">
        <v>16</v>
      </c>
      <c r="D29" s="7" t="n">
        <v>24</v>
      </c>
      <c r="E29" s="7" t="n">
        <v>36</v>
      </c>
      <c r="F29" s="8" t="n">
        <f aca="false">(C29+4*D29+E29)/6</f>
        <v>24.6666666666667</v>
      </c>
      <c r="G29" s="9" t="n">
        <f aca="false">(E29-C29)/6</f>
        <v>3.33333333333333</v>
      </c>
      <c r="H29" s="10" t="n">
        <f aca="false">F29*55</f>
        <v>1356.66666666667</v>
      </c>
      <c r="I29" s="6" t="s">
        <v>122</v>
      </c>
      <c r="J29" s="11" t="s">
        <v>123</v>
      </c>
      <c r="K29" s="5" t="s">
        <v>19</v>
      </c>
      <c r="L29" s="11" t="s">
        <v>124</v>
      </c>
    </row>
    <row r="30" customFormat="false" ht="45" hidden="false" customHeight="true" outlineLevel="0" collapsed="false">
      <c r="A30" s="5" t="s">
        <v>125</v>
      </c>
      <c r="B30" s="6" t="s">
        <v>126</v>
      </c>
      <c r="C30" s="7" t="n">
        <v>12</v>
      </c>
      <c r="D30" s="7" t="n">
        <v>18</v>
      </c>
      <c r="E30" s="7" t="n">
        <v>28</v>
      </c>
      <c r="F30" s="8" t="n">
        <f aca="false">(C30+4*D30+E30)/6</f>
        <v>18.6666666666667</v>
      </c>
      <c r="G30" s="9" t="n">
        <f aca="false">(E30-C30)/6</f>
        <v>2.66666666666667</v>
      </c>
      <c r="H30" s="10" t="n">
        <f aca="false">F30*55</f>
        <v>1026.66666666667</v>
      </c>
      <c r="I30" s="6" t="s">
        <v>31</v>
      </c>
      <c r="J30" s="11" t="s">
        <v>102</v>
      </c>
      <c r="K30" s="5" t="s">
        <v>19</v>
      </c>
      <c r="L30" s="11" t="s">
        <v>127</v>
      </c>
    </row>
    <row r="31" customFormat="false" ht="15" hidden="false" customHeight="true" outlineLevel="0" collapsed="false">
      <c r="A31" s="13" t="s">
        <v>128</v>
      </c>
      <c r="B31" s="13"/>
      <c r="C31" s="14" t="n">
        <f aca="false">SUM(C6:C30)</f>
        <v>435</v>
      </c>
      <c r="D31" s="14" t="n">
        <f aca="false">SUM(D6:D30)</f>
        <v>714</v>
      </c>
      <c r="E31" s="14" t="n">
        <f aca="false">SUM(E6:E30)</f>
        <v>1124</v>
      </c>
      <c r="F31" s="14" t="n">
        <f aca="false">SUM(F6:F30)</f>
        <v>735.833333333333</v>
      </c>
      <c r="G31" s="15" t="n">
        <f aca="false">SUM(G6:G30)</f>
        <v>114.833333333333</v>
      </c>
      <c r="H31" s="16" t="n">
        <f aca="false">SUM(H6:H30)</f>
        <v>40470.8333333333</v>
      </c>
      <c r="I31" s="17"/>
      <c r="J31" s="17"/>
      <c r="K31" s="17"/>
      <c r="L31" s="17"/>
    </row>
    <row r="33" customFormat="false" ht="15" hidden="false" customHeight="false" outlineLevel="0" collapsed="false">
      <c r="A33" s="18" t="s">
        <v>129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customFormat="false" ht="15" hidden="false" customHeight="true" outlineLevel="0" collapsed="false">
      <c r="A34" s="3" t="s">
        <v>130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 t="s">
        <v>131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 t="s">
        <v>132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 t="s">
        <v>133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3" t="s">
        <v>134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true" outlineLevel="0" collapsed="false">
      <c r="A39" s="3" t="s">
        <v>135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true" outlineLevel="0" collapsed="false">
      <c r="A40" s="3" t="s">
        <v>136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true" outlineLevel="0" collapsed="false">
      <c r="A41" s="3" t="s">
        <v>137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true" outlineLevel="0" collapsed="false">
      <c r="A42" s="3" t="s">
        <v>138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true" outlineLevel="0" collapsed="false">
      <c r="A43" s="3" t="s">
        <v>139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true" outlineLevel="0" collapsed="false">
      <c r="A44" s="3" t="s">
        <v>140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true" outlineLevel="0" collapsed="false">
      <c r="A45" s="3" t="s">
        <v>141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true" outlineLevel="0" collapsed="false">
      <c r="A46" s="3" t="s">
        <v>142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true" outlineLevel="0" collapsed="false">
      <c r="A47" s="3" t="s">
        <v>143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true" outlineLevel="0" collapsed="false">
      <c r="A48" s="3" t="s">
        <v>144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true" outlineLevel="0" collapsed="false">
      <c r="A49" s="3" t="s">
        <v>145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true" outlineLevel="0" collapsed="false">
      <c r="A50" s="3" t="s">
        <v>146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22">
    <mergeCell ref="A1:L1"/>
    <mergeCell ref="A2:L2"/>
    <mergeCell ref="A3:L3"/>
    <mergeCell ref="A31:B31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0:L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9" t="s">
        <v>147</v>
      </c>
      <c r="B1" s="19"/>
      <c r="C1" s="19"/>
      <c r="D1" s="19"/>
      <c r="E1" s="19"/>
      <c r="F1" s="19"/>
    </row>
    <row r="3" customFormat="false" ht="15" hidden="false" customHeight="false" outlineLevel="0" collapsed="false">
      <c r="A3" s="18" t="s">
        <v>148</v>
      </c>
      <c r="B3" s="18"/>
      <c r="C3" s="18"/>
      <c r="D3" s="18"/>
      <c r="E3" s="18"/>
      <c r="F3" s="18"/>
    </row>
    <row r="4" customFormat="false" ht="15" hidden="false" customHeight="false" outlineLevel="0" collapsed="false">
      <c r="A4" s="20" t="s">
        <v>149</v>
      </c>
      <c r="B4" s="20"/>
      <c r="C4" s="20"/>
      <c r="D4" s="20"/>
      <c r="E4" s="20"/>
      <c r="F4" s="20"/>
    </row>
    <row r="5" customFormat="false" ht="15" hidden="false" customHeight="false" outlineLevel="0" collapsed="false">
      <c r="A5" s="20" t="s">
        <v>150</v>
      </c>
      <c r="B5" s="20"/>
      <c r="C5" s="20"/>
      <c r="D5" s="20"/>
      <c r="E5" s="20"/>
      <c r="F5" s="20"/>
    </row>
    <row r="6" customFormat="false" ht="15" hidden="false" customHeight="false" outlineLevel="0" collapsed="false">
      <c r="A6" s="20" t="s">
        <v>151</v>
      </c>
      <c r="B6" s="20"/>
      <c r="C6" s="20"/>
      <c r="D6" s="20"/>
      <c r="E6" s="20"/>
      <c r="F6" s="20"/>
    </row>
    <row r="7" customFormat="false" ht="15" hidden="false" customHeight="false" outlineLevel="0" collapsed="false">
      <c r="A7" s="20" t="s">
        <v>152</v>
      </c>
      <c r="B7" s="20"/>
      <c r="C7" s="20"/>
      <c r="D7" s="20"/>
      <c r="E7" s="20"/>
      <c r="F7" s="20"/>
    </row>
    <row r="8" customFormat="false" ht="15" hidden="false" customHeight="false" outlineLevel="0" collapsed="false">
      <c r="A8" s="20" t="s">
        <v>153</v>
      </c>
      <c r="B8" s="20"/>
      <c r="C8" s="20"/>
      <c r="D8" s="20"/>
      <c r="E8" s="20"/>
      <c r="F8" s="20"/>
    </row>
    <row r="9" customFormat="false" ht="15" hidden="false" customHeight="false" outlineLevel="0" collapsed="false">
      <c r="A9" s="20" t="s">
        <v>154</v>
      </c>
      <c r="B9" s="20"/>
      <c r="C9" s="20"/>
      <c r="D9" s="20"/>
      <c r="E9" s="20"/>
      <c r="F9" s="20"/>
    </row>
    <row r="10" customFormat="false" ht="15" hidden="false" customHeight="false" outlineLevel="0" collapsed="false">
      <c r="A10" s="20" t="s">
        <v>155</v>
      </c>
      <c r="B10" s="20"/>
      <c r="C10" s="20"/>
      <c r="D10" s="20"/>
      <c r="E10" s="20"/>
      <c r="F10" s="20"/>
    </row>
    <row r="12" customFormat="false" ht="15" hidden="false" customHeight="false" outlineLevel="0" collapsed="false">
      <c r="A12" s="18" t="s">
        <v>156</v>
      </c>
      <c r="B12" s="18"/>
      <c r="C12" s="18"/>
      <c r="D12" s="18"/>
      <c r="E12" s="18"/>
      <c r="F12" s="18"/>
    </row>
    <row r="13" customFormat="false" ht="15" hidden="false" customHeight="false" outlineLevel="0" collapsed="false">
      <c r="A13" s="20" t="s">
        <v>157</v>
      </c>
      <c r="B13" s="20"/>
      <c r="C13" s="20"/>
      <c r="D13" s="20"/>
      <c r="E13" s="20"/>
      <c r="F13" s="20"/>
    </row>
    <row r="14" customFormat="false" ht="15" hidden="false" customHeight="false" outlineLevel="0" collapsed="false">
      <c r="A14" s="20" t="s">
        <v>158</v>
      </c>
      <c r="B14" s="20"/>
      <c r="C14" s="20"/>
      <c r="D14" s="20"/>
      <c r="E14" s="20"/>
      <c r="F14" s="20"/>
    </row>
    <row r="15" customFormat="false" ht="15" hidden="false" customHeight="false" outlineLevel="0" collapsed="false">
      <c r="A15" s="20" t="s">
        <v>159</v>
      </c>
      <c r="B15" s="20"/>
      <c r="C15" s="20"/>
      <c r="D15" s="20"/>
      <c r="E15" s="20"/>
      <c r="F15" s="20"/>
    </row>
    <row r="16" customFormat="false" ht="15" hidden="false" customHeight="false" outlineLevel="0" collapsed="false">
      <c r="A16" s="20" t="s">
        <v>160</v>
      </c>
      <c r="B16" s="20"/>
      <c r="C16" s="20"/>
      <c r="D16" s="20"/>
      <c r="E16" s="20"/>
      <c r="F16" s="20"/>
    </row>
    <row r="17" customFormat="false" ht="15" hidden="false" customHeight="false" outlineLevel="0" collapsed="false">
      <c r="A17" s="20" t="s">
        <v>161</v>
      </c>
      <c r="B17" s="20"/>
      <c r="C17" s="20"/>
      <c r="D17" s="20"/>
      <c r="E17" s="20"/>
      <c r="F17" s="20"/>
    </row>
    <row r="18" customFormat="false" ht="15" hidden="false" customHeight="false" outlineLevel="0" collapsed="false">
      <c r="A18" s="20" t="s">
        <v>162</v>
      </c>
      <c r="B18" s="20"/>
      <c r="C18" s="20"/>
      <c r="D18" s="20"/>
      <c r="E18" s="20"/>
      <c r="F18" s="20"/>
    </row>
    <row r="19" customFormat="false" ht="15" hidden="false" customHeight="false" outlineLevel="0" collapsed="false">
      <c r="A19" s="20" t="s">
        <v>163</v>
      </c>
      <c r="B19" s="20"/>
      <c r="C19" s="20"/>
      <c r="D19" s="20"/>
      <c r="E19" s="20"/>
      <c r="F19" s="20"/>
    </row>
    <row r="21" customFormat="false" ht="15" hidden="false" customHeight="false" outlineLevel="0" collapsed="false">
      <c r="A21" s="18" t="s">
        <v>164</v>
      </c>
      <c r="B21" s="18"/>
      <c r="C21" s="18"/>
      <c r="D21" s="18"/>
      <c r="E21" s="18"/>
      <c r="F21" s="18"/>
    </row>
    <row r="22" customFormat="false" ht="15" hidden="false" customHeight="false" outlineLevel="0" collapsed="false">
      <c r="A22" s="20" t="s">
        <v>165</v>
      </c>
      <c r="B22" s="20"/>
      <c r="C22" s="20"/>
      <c r="D22" s="20"/>
      <c r="E22" s="20"/>
      <c r="F22" s="20"/>
    </row>
    <row r="23" customFormat="false" ht="15" hidden="false" customHeight="false" outlineLevel="0" collapsed="false">
      <c r="A23" s="20" t="s">
        <v>166</v>
      </c>
      <c r="B23" s="20"/>
      <c r="C23" s="20"/>
      <c r="D23" s="20"/>
      <c r="E23" s="20"/>
      <c r="F23" s="20"/>
    </row>
    <row r="24" customFormat="false" ht="15" hidden="false" customHeight="false" outlineLevel="0" collapsed="false">
      <c r="A24" s="20" t="s">
        <v>167</v>
      </c>
      <c r="B24" s="20"/>
      <c r="C24" s="20"/>
      <c r="D24" s="20"/>
      <c r="E24" s="20"/>
      <c r="F24" s="20"/>
    </row>
    <row r="25" customFormat="false" ht="15" hidden="false" customHeight="false" outlineLevel="0" collapsed="false">
      <c r="A25" s="20" t="s">
        <v>168</v>
      </c>
      <c r="B25" s="20"/>
      <c r="C25" s="20"/>
      <c r="D25" s="20"/>
      <c r="E25" s="20"/>
      <c r="F25" s="20"/>
    </row>
    <row r="26" customFormat="false" ht="15" hidden="false" customHeight="false" outlineLevel="0" collapsed="false">
      <c r="A26" s="20" t="s">
        <v>169</v>
      </c>
      <c r="B26" s="20"/>
      <c r="C26" s="20"/>
      <c r="D26" s="20"/>
      <c r="E26" s="20"/>
      <c r="F26" s="20"/>
    </row>
    <row r="28" customFormat="false" ht="15" hidden="false" customHeight="false" outlineLevel="0" collapsed="false">
      <c r="A28" s="18" t="s">
        <v>170</v>
      </c>
      <c r="B28" s="18"/>
      <c r="C28" s="18"/>
      <c r="D28" s="18"/>
      <c r="E28" s="18"/>
      <c r="F28" s="18"/>
    </row>
    <row r="29" customFormat="false" ht="15" hidden="false" customHeight="false" outlineLevel="0" collapsed="false">
      <c r="A29" s="20" t="s">
        <v>171</v>
      </c>
      <c r="B29" s="20"/>
      <c r="C29" s="20"/>
      <c r="D29" s="20"/>
      <c r="E29" s="20"/>
      <c r="F29" s="20"/>
    </row>
    <row r="30" customFormat="false" ht="15" hidden="false" customHeight="false" outlineLevel="0" collapsed="false">
      <c r="A30" s="20" t="s">
        <v>172</v>
      </c>
      <c r="B30" s="20"/>
      <c r="C30" s="20"/>
      <c r="D30" s="20"/>
      <c r="E30" s="20"/>
      <c r="F30" s="20"/>
    </row>
    <row r="31" customFormat="false" ht="15" hidden="false" customHeight="false" outlineLevel="0" collapsed="false">
      <c r="A31" s="20" t="s">
        <v>173</v>
      </c>
      <c r="B31" s="20"/>
      <c r="C31" s="20"/>
      <c r="D31" s="20"/>
      <c r="E31" s="20"/>
      <c r="F31" s="20"/>
    </row>
    <row r="32" customFormat="false" ht="15" hidden="false" customHeight="false" outlineLevel="0" collapsed="false">
      <c r="A32" s="20" t="s">
        <v>174</v>
      </c>
      <c r="B32" s="20"/>
      <c r="C32" s="20"/>
      <c r="D32" s="20"/>
      <c r="E32" s="20"/>
      <c r="F32" s="20"/>
    </row>
  </sheetData>
  <mergeCells count="28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2:F12"/>
    <mergeCell ref="A13:F13"/>
    <mergeCell ref="A14:F14"/>
    <mergeCell ref="A15:F15"/>
    <mergeCell ref="A16:F16"/>
    <mergeCell ref="A17:F17"/>
    <mergeCell ref="A18:F18"/>
    <mergeCell ref="A19:F19"/>
    <mergeCell ref="A21:F21"/>
    <mergeCell ref="A22:F22"/>
    <mergeCell ref="A23:F23"/>
    <mergeCell ref="A24:F24"/>
    <mergeCell ref="A25:F25"/>
    <mergeCell ref="A26:F26"/>
    <mergeCell ref="A28:F28"/>
    <mergeCell ref="A29:F29"/>
    <mergeCell ref="A30:F30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17.35" hidden="false" customHeight="false" outlineLevel="0" collapsed="false">
      <c r="A1" s="21" t="s">
        <v>175</v>
      </c>
    </row>
    <row r="3" customFormat="false" ht="15" hidden="false" customHeight="false" outlineLevel="0" collapsed="false">
      <c r="A3" s="22" t="s">
        <v>176</v>
      </c>
    </row>
    <row r="4" customFormat="false" ht="15" hidden="false" customHeight="false" outlineLevel="0" collapsed="false">
      <c r="A4" s="23" t="s">
        <v>177</v>
      </c>
      <c r="B4" s="24" t="s">
        <v>178</v>
      </c>
    </row>
    <row r="5" customFormat="false" ht="15" hidden="false" customHeight="false" outlineLevel="0" collapsed="false">
      <c r="A5" s="25" t="s">
        <v>179</v>
      </c>
      <c r="B5" s="24" t="s">
        <v>180</v>
      </c>
    </row>
    <row r="6" customFormat="false" ht="15" hidden="false" customHeight="false" outlineLevel="0" collapsed="false">
      <c r="A6" s="26" t="s">
        <v>181</v>
      </c>
      <c r="B6" s="24" t="s">
        <v>182</v>
      </c>
    </row>
    <row r="7" customFormat="false" ht="15" hidden="false" customHeight="false" outlineLevel="0" collapsed="false">
      <c r="A7" s="27" t="s">
        <v>183</v>
      </c>
      <c r="B7" s="24" t="s">
        <v>184</v>
      </c>
    </row>
    <row r="9" customFormat="false" ht="15" hidden="false" customHeight="false" outlineLevel="0" collapsed="false">
      <c r="A9" s="22" t="s">
        <v>185</v>
      </c>
    </row>
    <row r="10" customFormat="false" ht="15" hidden="false" customHeight="false" outlineLevel="0" collapsed="false">
      <c r="A10" s="0" t="s">
        <v>186</v>
      </c>
      <c r="B10" s="0" t="s">
        <v>187</v>
      </c>
    </row>
    <row r="11" customFormat="false" ht="15" hidden="false" customHeight="false" outlineLevel="0" collapsed="false">
      <c r="A11" s="0" t="s">
        <v>188</v>
      </c>
      <c r="B11" s="0" t="s">
        <v>189</v>
      </c>
    </row>
    <row r="12" customFormat="false" ht="15" hidden="false" customHeight="false" outlineLevel="0" collapsed="false">
      <c r="A12" s="0" t="s">
        <v>190</v>
      </c>
      <c r="B12" s="0" t="s">
        <v>191</v>
      </c>
    </row>
    <row r="14" customFormat="false" ht="15" hidden="false" customHeight="false" outlineLevel="0" collapsed="false">
      <c r="A14" s="22" t="s">
        <v>192</v>
      </c>
    </row>
    <row r="15" customFormat="false" ht="15" hidden="false" customHeight="false" outlineLevel="0" collapsed="false">
      <c r="A15" s="0" t="s">
        <v>19</v>
      </c>
      <c r="B15" s="0" t="s">
        <v>193</v>
      </c>
    </row>
    <row r="16" customFormat="false" ht="15" hidden="false" customHeight="false" outlineLevel="0" collapsed="false">
      <c r="A16" s="0" t="s">
        <v>89</v>
      </c>
      <c r="B16" s="0" t="s">
        <v>194</v>
      </c>
    </row>
    <row r="17" customFormat="false" ht="15" hidden="false" customHeight="false" outlineLevel="0" collapsed="false">
      <c r="A17" s="0" t="s">
        <v>108</v>
      </c>
      <c r="B17" s="0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2026-10-08T16:54:38Z</dcterms:created>
  <dc:creator>openpyxl</dc:creator>
  <dc:description/>
  <dc:language>en-US</dc:language>
  <cp:lastModifiedBy/>
  <dcterms:modified xsi:type="dcterms:W3CDTF">2026-10-08T16:54:38Z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